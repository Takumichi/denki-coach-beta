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使い方" sheetId="1" state="visible" r:id="rId3"/>
    <sheet name="前提条件" sheetId="2" state="visible" r:id="rId4"/>
    <sheet name="慎重ケース" sheetId="3" state="visible" r:id="rId5"/>
    <sheet name="標準ケース" sheetId="4" state="visible" r:id="rId6"/>
    <sheet name="好調ケース" sheetId="5" state="visible" r:id="rId7"/>
    <sheet name="サマリー比較" sheetId="6" state="visible" r:id="rId8"/>
    <sheet name="AI費用比較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<sst xmlns="http://schemas.openxmlformats.org/spreadsheetml/2006/main" count="283" uniqueCount="169">
  <si>
    <r>
      <rPr>
        <b val="true"/>
        <sz val="14"/>
        <color rgb="FF000000"/>
        <rFont val="Noto Sans CJK SC"/>
        <family val="2"/>
      </rPr>
      <t xml:space="preserve">現場でんき探偵</t>
    </r>
    <r>
      <rPr>
        <b val="true"/>
        <sz val="14"/>
        <color rgb="FF000000"/>
        <rFont val="Arial"/>
        <family val="0"/>
        <charset val="1"/>
      </rPr>
      <t xml:space="preserve">Pro ― </t>
    </r>
    <r>
      <rPr>
        <b val="true"/>
        <sz val="14"/>
        <color rgb="FF000000"/>
        <rFont val="Noto Sans CJK SC"/>
        <family val="2"/>
      </rPr>
      <t xml:space="preserve">財務モデル（慎重・標準・好調シナリオ）</t>
    </r>
  </si>
  <si>
    <t xml:space="preserve">■ このファイルの構成</t>
  </si>
  <si>
    <r>
      <rPr>
        <sz val="10"/>
        <color rgb="FF000000"/>
        <rFont val="Noto Sans CJK SC"/>
        <family val="2"/>
      </rPr>
      <t xml:space="preserve">・前提条件 …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シナリオ（慎重／標準／好調）の入力値をすべて集約したシート。青文字のセルが入力値です。</t>
    </r>
  </si>
  <si>
    <r>
      <rPr>
        <sz val="10"/>
        <color rgb="FF000000"/>
        <rFont val="Noto Sans CJK SC"/>
        <family val="2"/>
      </rPr>
      <t xml:space="preserve">・慎重ケース／標準ケース／好調ケース … 各シナリオの</t>
    </r>
    <r>
      <rPr>
        <sz val="10"/>
        <color rgb="FF000000"/>
        <rFont val="Arial"/>
        <family val="0"/>
        <charset val="1"/>
      </rPr>
      <t xml:space="preserve">36</t>
    </r>
    <r>
      <rPr>
        <sz val="10"/>
        <color rgb="FF000000"/>
        <rFont val="Noto Sans CJK SC"/>
        <family val="2"/>
      </rPr>
      <t xml:space="preserve">ヶ月分の月次モデル。数式で自動計算されるため、</t>
    </r>
  </si>
  <si>
    <t xml:space="preserve">  「前提条件」シートの数値を書き換えると全シートが再計算されます。</t>
  </si>
  <si>
    <r>
      <rPr>
        <sz val="10"/>
        <color rgb="FF000000"/>
        <rFont val="Noto Sans CJK SC"/>
        <family val="2"/>
      </rPr>
      <t xml:space="preserve">・サマリー比較 … </t>
    </r>
    <r>
      <rPr>
        <sz val="10"/>
        <color rgb="FF000000"/>
        <rFont val="Arial"/>
        <family val="0"/>
        <charset val="1"/>
      </rPr>
      <t xml:space="preserve">12</t>
    </r>
    <r>
      <rPr>
        <sz val="10"/>
        <color rgb="FF000000"/>
        <rFont val="Noto Sans CJK SC"/>
        <family val="2"/>
      </rPr>
      <t xml:space="preserve">ヶ月・</t>
    </r>
    <r>
      <rPr>
        <sz val="10"/>
        <color rgb="FF000000"/>
        <rFont val="Arial"/>
        <family val="0"/>
        <charset val="1"/>
      </rPr>
      <t xml:space="preserve">24</t>
    </r>
    <r>
      <rPr>
        <sz val="10"/>
        <color rgb="FF000000"/>
        <rFont val="Noto Sans CJK SC"/>
        <family val="2"/>
      </rPr>
      <t xml:space="preserve">ヶ月・</t>
    </r>
    <r>
      <rPr>
        <sz val="10"/>
        <color rgb="FF000000"/>
        <rFont val="Arial"/>
        <family val="0"/>
        <charset val="1"/>
      </rPr>
      <t xml:space="preserve">36</t>
    </r>
    <r>
      <rPr>
        <sz val="10"/>
        <color rgb="FF000000"/>
        <rFont val="Noto Sans CJK SC"/>
        <family val="2"/>
      </rPr>
      <t xml:space="preserve">ヶ月時点の主要指標を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シナリオ横並びで比較。損益分岐月も表示。</t>
    </r>
  </si>
  <si>
    <r>
      <rPr>
        <sz val="10"/>
        <color rgb="FF000000"/>
        <rFont val="Noto Sans CJK SC"/>
        <family val="2"/>
      </rPr>
      <t xml:space="preserve">・</t>
    </r>
    <r>
      <rPr>
        <sz val="10"/>
        <color rgb="FF000000"/>
        <rFont val="Arial"/>
        <family val="0"/>
        <charset val="1"/>
      </rPr>
      <t xml:space="preserve">AI</t>
    </r>
    <r>
      <rPr>
        <sz val="10"/>
        <color rgb="FF000000"/>
        <rFont val="Noto Sans CJK SC"/>
        <family val="2"/>
      </rPr>
      <t xml:space="preserve">費用比較 … </t>
    </r>
    <r>
      <rPr>
        <sz val="10"/>
        <color rgb="FF000000"/>
        <rFont val="Arial"/>
        <family val="0"/>
        <charset val="1"/>
      </rPr>
      <t xml:space="preserve">AI</t>
    </r>
    <r>
      <rPr>
        <sz val="10"/>
        <color rgb="FF000000"/>
        <rFont val="Noto Sans CJK SC"/>
        <family val="2"/>
      </rPr>
      <t xml:space="preserve">機能を限定した場合と多用した場合の</t>
    </r>
    <r>
      <rPr>
        <sz val="10"/>
        <color rgb="FF000000"/>
        <rFont val="Arial"/>
        <family val="0"/>
        <charset val="1"/>
      </rPr>
      <t xml:space="preserve">AI API</t>
    </r>
    <r>
      <rPr>
        <sz val="10"/>
        <color rgb="FF000000"/>
        <rFont val="Noto Sans CJK SC"/>
        <family val="2"/>
      </rPr>
      <t xml:space="preserve">費用インパクトを比較。</t>
    </r>
  </si>
  <si>
    <t xml:space="preserve">■ 色の意味</t>
  </si>
  <si>
    <t xml:space="preserve">・青文字：前提条件シートの入力セル（自由に変更可）</t>
  </si>
  <si>
    <t xml:space="preserve">・黒文字：数式で自動計算されるセル（通常は編集不要）</t>
  </si>
  <si>
    <t xml:space="preserve">・緑文字：他シートを参照している数式</t>
  </si>
  <si>
    <t xml:space="preserve">・黄色の網掛け：特に重要な前提条件（変更した場合は他シートに大きく影響）</t>
  </si>
  <si>
    <t xml:space="preserve">■ モデルの考え方（月次コホート方式）</t>
  </si>
  <si>
    <r>
      <rPr>
        <sz val="10"/>
        <color rgb="FF000000"/>
        <rFont val="Noto Sans CJK SC"/>
        <family val="2"/>
      </rPr>
      <t xml:space="preserve">新規ダウンロード数 → アクティブ化率で</t>
    </r>
    <r>
      <rPr>
        <sz val="10"/>
        <color rgb="FF000000"/>
        <rFont val="Arial"/>
        <family val="0"/>
        <charset val="1"/>
      </rPr>
      <t xml:space="preserve">MAU</t>
    </r>
    <r>
      <rPr>
        <sz val="10"/>
        <color rgb="FF000000"/>
        <rFont val="Noto Sans CJK SC"/>
        <family val="2"/>
      </rPr>
      <t xml:space="preserve">化 → 無料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有料の解約率で残存 → 無料→有料転換率で課金化</t>
    </r>
  </si>
  <si>
    <r>
      <rPr>
        <sz val="10"/>
        <color rgb="FF000000"/>
        <rFont val="Noto Sans CJK SC"/>
        <family val="2"/>
      </rPr>
      <t xml:space="preserve">→ 個人課金売上＋法人契約売上＝売上合計 → 費用（サーバー・</t>
    </r>
    <r>
      <rPr>
        <sz val="10"/>
        <color rgb="FF000000"/>
        <rFont val="Arial"/>
        <family val="0"/>
        <charset val="1"/>
      </rPr>
      <t xml:space="preserve">Firebase</t>
    </r>
    <r>
      <rPr>
        <sz val="10"/>
        <color rgb="FF000000"/>
        <rFont val="Noto Sans CJK SC"/>
        <family val="2"/>
      </rPr>
      <t xml:space="preserve">・</t>
    </r>
    <r>
      <rPr>
        <sz val="10"/>
        <color rgb="FF000000"/>
        <rFont val="Arial"/>
        <family val="0"/>
        <charset val="1"/>
      </rPr>
      <t xml:space="preserve">AI API</t>
    </r>
    <r>
      <rPr>
        <sz val="10"/>
        <color rgb="FF000000"/>
        <rFont val="Noto Sans CJK SC"/>
        <family val="2"/>
      </rPr>
      <t xml:space="preserve">・決済手数料・広告・</t>
    </r>
  </si>
  <si>
    <r>
      <rPr>
        <sz val="10"/>
        <color rgb="FF000000"/>
        <rFont val="Arial"/>
        <family val="0"/>
        <charset val="1"/>
      </rPr>
      <t xml:space="preserve">CS</t>
    </r>
    <r>
      <rPr>
        <sz val="10"/>
        <color rgb="FF000000"/>
        <rFont val="Noto Sans CJK SC"/>
        <family val="2"/>
      </rPr>
      <t xml:space="preserve">・法人営業・予備費）を差し引いて月次損益、その累計が累計損益（黒字化の判定に使用）。</t>
    </r>
  </si>
  <si>
    <t xml:space="preserve">■ 重要な注意</t>
  </si>
  <si>
    <t xml:space="preserve">・本モデルの数値はすべて公開情報＋合理的な仮定に基づく試算です。実績とは異なります。</t>
  </si>
  <si>
    <t xml:space="preserve">・「法人契約数」は解約率を考慮した連続値（小数）で近似しているため、実際の契約社数とは端数が生じます。</t>
  </si>
  <si>
    <r>
      <rPr>
        <sz val="10"/>
        <color rgb="FF000000"/>
        <rFont val="Noto Sans CJK SC"/>
        <family val="2"/>
      </rPr>
      <t xml:space="preserve">・出典・根拠は「前提条件」シートの備考欄、およびマーケティングレポート本編（</t>
    </r>
    <r>
      <rPr>
        <sz val="10"/>
        <color rgb="FF000000"/>
        <rFont val="Arial"/>
        <family val="0"/>
        <charset val="1"/>
      </rPr>
      <t xml:space="preserve">Markdown</t>
    </r>
    <r>
      <rPr>
        <sz val="10"/>
        <color rgb="FF000000"/>
        <rFont val="Noto Sans CJK SC"/>
        <family val="2"/>
      </rPr>
      <t xml:space="preserve">）をご参照ください。</t>
    </r>
  </si>
  <si>
    <r>
      <rPr>
        <b val="true"/>
        <sz val="14"/>
        <color rgb="FF000000"/>
        <rFont val="Noto Sans CJK SC"/>
        <family val="2"/>
      </rPr>
      <t xml:space="preserve">現場でんき探偵</t>
    </r>
    <r>
      <rPr>
        <b val="true"/>
        <sz val="14"/>
        <color rgb="FF000000"/>
        <rFont val="Arial"/>
        <family val="0"/>
        <charset val="1"/>
      </rPr>
      <t xml:space="preserve">Pro ― </t>
    </r>
    <r>
      <rPr>
        <b val="true"/>
        <sz val="14"/>
        <color rgb="FF000000"/>
        <rFont val="Noto Sans CJK SC"/>
        <family val="2"/>
      </rPr>
      <t xml:space="preserve">前提条件（</t>
    </r>
    <r>
      <rPr>
        <b val="true"/>
        <sz val="14"/>
        <color rgb="FF000000"/>
        <rFont val="Arial"/>
        <family val="0"/>
        <charset val="1"/>
      </rPr>
      <t xml:space="preserve">3</t>
    </r>
    <r>
      <rPr>
        <b val="true"/>
        <sz val="14"/>
        <color rgb="FF000000"/>
        <rFont val="Noto Sans CJK SC"/>
        <family val="2"/>
      </rPr>
      <t xml:space="preserve">シナリオ入力値）</t>
    </r>
  </si>
  <si>
    <t xml:space="preserve">数値は仮定に基づく試算です。詳細な根拠はマーケティングレポート本編を参照してください。</t>
  </si>
  <si>
    <t xml:space="preserve">項目</t>
  </si>
  <si>
    <t xml:space="preserve">単位</t>
  </si>
  <si>
    <t xml:space="preserve">慎重ケース</t>
  </si>
  <si>
    <t xml:space="preserve">標準ケース</t>
  </si>
  <si>
    <t xml:space="preserve">好調ケース</t>
  </si>
  <si>
    <t xml:space="preserve">備考・根拠（仮定／出典）</t>
  </si>
  <si>
    <t xml:space="preserve">■ ユーザー獲得・利用</t>
  </si>
  <si>
    <r>
      <rPr>
        <sz val="10"/>
        <color rgb="FF000000"/>
        <rFont val="Arial"/>
        <family val="0"/>
        <charset val="1"/>
      </rPr>
      <t xml:space="preserve">Month1 </t>
    </r>
    <r>
      <rPr>
        <sz val="10"/>
        <color rgb="FF000000"/>
        <rFont val="Noto Sans CJK SC"/>
        <family val="2"/>
      </rPr>
      <t xml:space="preserve">新規ダウンロード数</t>
    </r>
  </si>
  <si>
    <t xml:space="preserve">人</t>
  </si>
  <si>
    <r>
      <rPr>
        <i val="true"/>
        <sz val="9"/>
        <color rgb="FF808080"/>
        <rFont val="Noto Sans CJK SC"/>
        <family val="2"/>
      </rPr>
      <t xml:space="preserve">仮定：</t>
    </r>
    <r>
      <rPr>
        <i val="true"/>
        <sz val="9"/>
        <color rgb="FF808080"/>
        <rFont val="Arial"/>
        <family val="0"/>
        <charset val="1"/>
      </rPr>
      <t xml:space="preserve">β</t>
    </r>
    <r>
      <rPr>
        <i val="true"/>
        <sz val="9"/>
        <color rgb="FF808080"/>
        <rFont val="Noto Sans CJK SC"/>
        <family val="2"/>
      </rPr>
      <t xml:space="preserve">非公開テスター経由の口コミ＋公開初月の</t>
    </r>
    <r>
      <rPr>
        <i val="true"/>
        <sz val="9"/>
        <color rgb="FF808080"/>
        <rFont val="Arial"/>
        <family val="0"/>
        <charset val="1"/>
      </rPr>
      <t xml:space="preserve">SNS</t>
    </r>
    <r>
      <rPr>
        <i val="true"/>
        <sz val="9"/>
        <color rgb="FF808080"/>
        <rFont val="Noto Sans CJK SC"/>
        <family val="2"/>
      </rPr>
      <t xml:space="preserve">告知規模から試算</t>
    </r>
  </si>
  <si>
    <r>
      <rPr>
        <sz val="10"/>
        <color rgb="FF000000"/>
        <rFont val="Noto Sans CJK SC"/>
        <family val="2"/>
      </rPr>
      <t xml:space="preserve">月次成長率（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〜</t>
    </r>
    <r>
      <rPr>
        <sz val="10"/>
        <color rgb="FF000000"/>
        <rFont val="Arial"/>
        <family val="0"/>
        <charset val="1"/>
      </rPr>
      <t xml:space="preserve">12</t>
    </r>
    <r>
      <rPr>
        <sz val="10"/>
        <color rgb="FF000000"/>
        <rFont val="Noto Sans CJK SC"/>
        <family val="2"/>
      </rPr>
      <t xml:space="preserve">ヶ月目）</t>
    </r>
  </si>
  <si>
    <t xml:space="preserve">%</t>
  </si>
  <si>
    <r>
      <rPr>
        <i val="true"/>
        <sz val="9"/>
        <color rgb="FF808080"/>
        <rFont val="Noto Sans CJK SC"/>
        <family val="2"/>
      </rPr>
      <t xml:space="preserve">仮定：無料</t>
    </r>
    <r>
      <rPr>
        <i val="true"/>
        <sz val="9"/>
        <color rgb="FF808080"/>
        <rFont val="Arial"/>
        <family val="0"/>
        <charset val="1"/>
      </rPr>
      <t xml:space="preserve">ASO</t>
    </r>
    <r>
      <rPr>
        <i val="true"/>
        <sz val="9"/>
        <color rgb="FF808080"/>
        <rFont val="Noto Sans CJK SC"/>
        <family val="2"/>
      </rPr>
      <t xml:space="preserve">＋</t>
    </r>
    <r>
      <rPr>
        <i val="true"/>
        <sz val="9"/>
        <color rgb="FF808080"/>
        <rFont val="Arial"/>
        <family val="0"/>
        <charset val="1"/>
      </rPr>
      <t xml:space="preserve">SNS</t>
    </r>
    <r>
      <rPr>
        <i val="true"/>
        <sz val="9"/>
        <color rgb="FF808080"/>
        <rFont val="Noto Sans CJK SC"/>
        <family val="2"/>
      </rPr>
      <t xml:space="preserve">投稿中心。伸び率は個人開発アプリの立ち上がりを参考に保守的に設定</t>
    </r>
  </si>
  <si>
    <r>
      <rPr>
        <sz val="10"/>
        <color rgb="FF000000"/>
        <rFont val="Noto Sans CJK SC"/>
        <family val="2"/>
      </rPr>
      <t xml:space="preserve">月次成長率（</t>
    </r>
    <r>
      <rPr>
        <sz val="10"/>
        <color rgb="FF000000"/>
        <rFont val="Arial"/>
        <family val="0"/>
        <charset val="1"/>
      </rPr>
      <t xml:space="preserve">13</t>
    </r>
    <r>
      <rPr>
        <sz val="10"/>
        <color rgb="FF000000"/>
        <rFont val="Noto Sans CJK SC"/>
        <family val="2"/>
      </rPr>
      <t xml:space="preserve">〜</t>
    </r>
    <r>
      <rPr>
        <sz val="10"/>
        <color rgb="FF000000"/>
        <rFont val="Arial"/>
        <family val="0"/>
        <charset val="1"/>
      </rPr>
      <t xml:space="preserve">24</t>
    </r>
    <r>
      <rPr>
        <sz val="10"/>
        <color rgb="FF000000"/>
        <rFont val="Noto Sans CJK SC"/>
        <family val="2"/>
      </rPr>
      <t xml:space="preserve">ヶ月目）</t>
    </r>
  </si>
  <si>
    <r>
      <rPr>
        <i val="true"/>
        <sz val="9"/>
        <color rgb="FF808080"/>
        <rFont val="Noto Sans CJK SC"/>
        <family val="2"/>
      </rPr>
      <t xml:space="preserve">仮定：新規性の逓減を反映し</t>
    </r>
    <r>
      <rPr>
        <i val="true"/>
        <sz val="9"/>
        <color rgb="FF808080"/>
        <rFont val="Arial"/>
        <family val="0"/>
        <charset val="1"/>
      </rPr>
      <t xml:space="preserve">1</t>
    </r>
    <r>
      <rPr>
        <i val="true"/>
        <sz val="9"/>
        <color rgb="FF808080"/>
        <rFont val="Noto Sans CJK SC"/>
        <family val="2"/>
      </rPr>
      <t xml:space="preserve">年目より鈍化</t>
    </r>
  </si>
  <si>
    <r>
      <rPr>
        <sz val="10"/>
        <color rgb="FF000000"/>
        <rFont val="Noto Sans CJK SC"/>
        <family val="2"/>
      </rPr>
      <t xml:space="preserve">月次成長率（</t>
    </r>
    <r>
      <rPr>
        <sz val="10"/>
        <color rgb="FF000000"/>
        <rFont val="Arial"/>
        <family val="0"/>
        <charset val="1"/>
      </rPr>
      <t xml:space="preserve">25</t>
    </r>
    <r>
      <rPr>
        <sz val="10"/>
        <color rgb="FF000000"/>
        <rFont val="Noto Sans CJK SC"/>
        <family val="2"/>
      </rPr>
      <t xml:space="preserve">〜</t>
    </r>
    <r>
      <rPr>
        <sz val="10"/>
        <color rgb="FF000000"/>
        <rFont val="Arial"/>
        <family val="0"/>
        <charset val="1"/>
      </rPr>
      <t xml:space="preserve">36</t>
    </r>
    <r>
      <rPr>
        <sz val="10"/>
        <color rgb="FF000000"/>
        <rFont val="Noto Sans CJK SC"/>
        <family val="2"/>
      </rPr>
      <t xml:space="preserve">ヶ月目）</t>
    </r>
  </si>
  <si>
    <t xml:space="preserve">仮定：市場成熟に伴いさらに鈍化</t>
  </si>
  <si>
    <t xml:space="preserve">ストア閲覧→ダウンロード転換率</t>
  </si>
  <si>
    <r>
      <rPr>
        <i val="true"/>
        <sz val="9"/>
        <color rgb="FF808080"/>
        <rFont val="Noto Sans CJK SC"/>
        <family val="2"/>
      </rPr>
      <t xml:space="preserve">仮定：</t>
    </r>
    <r>
      <rPr>
        <i val="true"/>
        <sz val="9"/>
        <color rgb="FF808080"/>
        <rFont val="Arial"/>
        <family val="0"/>
        <charset val="1"/>
      </rPr>
      <t xml:space="preserve">Google Play</t>
    </r>
    <r>
      <rPr>
        <i val="true"/>
        <sz val="9"/>
        <color rgb="FF808080"/>
        <rFont val="Noto Sans CJK SC"/>
        <family val="2"/>
      </rPr>
      <t xml:space="preserve">一般的な</t>
    </r>
    <r>
      <rPr>
        <i val="true"/>
        <sz val="9"/>
        <color rgb="FF808080"/>
        <rFont val="Arial"/>
        <family val="0"/>
        <charset val="1"/>
      </rPr>
      <t xml:space="preserve">CVR</t>
    </r>
    <r>
      <rPr>
        <i val="true"/>
        <sz val="9"/>
        <color rgb="FF808080"/>
        <rFont val="Noto Sans CJK SC"/>
        <family val="2"/>
      </rPr>
      <t xml:space="preserve">目安（</t>
    </r>
    <r>
      <rPr>
        <i val="true"/>
        <sz val="9"/>
        <color rgb="FF808080"/>
        <rFont val="Arial"/>
        <family val="0"/>
        <charset val="1"/>
      </rPr>
      <t xml:space="preserve">20</t>
    </r>
    <r>
      <rPr>
        <i val="true"/>
        <sz val="9"/>
        <color rgb="FF808080"/>
        <rFont val="Noto Sans CJK SC"/>
        <family val="2"/>
      </rPr>
      <t xml:space="preserve">〜</t>
    </r>
    <r>
      <rPr>
        <i val="true"/>
        <sz val="9"/>
        <color rgb="FF808080"/>
        <rFont val="Arial"/>
        <family val="0"/>
        <charset val="1"/>
      </rPr>
      <t xml:space="preserve">30%</t>
    </r>
    <r>
      <rPr>
        <i val="true"/>
        <sz val="9"/>
        <color rgb="FF808080"/>
        <rFont val="Noto Sans CJK SC"/>
        <family val="2"/>
      </rPr>
      <t xml:space="preserve">）を参考に設定</t>
    </r>
  </si>
  <si>
    <r>
      <rPr>
        <sz val="10"/>
        <color rgb="FF000000"/>
        <rFont val="Noto Sans CJK SC"/>
        <family val="2"/>
      </rPr>
      <t xml:space="preserve">ダウンロード→アクティブ化率（</t>
    </r>
    <r>
      <rPr>
        <sz val="10"/>
        <color rgb="FF000000"/>
        <rFont val="Arial"/>
        <family val="0"/>
        <charset val="1"/>
      </rPr>
      <t xml:space="preserve">MAU</t>
    </r>
    <r>
      <rPr>
        <sz val="10"/>
        <color rgb="FF000000"/>
        <rFont val="Noto Sans CJK SC"/>
        <family val="2"/>
      </rPr>
      <t xml:space="preserve">算入）</t>
    </r>
  </si>
  <si>
    <t xml:space="preserve">仮定：現場業務ツールは「入れたが使わない」離脱が一定数出るため控えめに設定</t>
  </si>
  <si>
    <t xml:space="preserve">無料会員 月次解約率</t>
  </si>
  <si>
    <t xml:space="preserve">仮定：現場が変わる・使わなくなる等によるアンインストール／休眠を想定</t>
  </si>
  <si>
    <t xml:space="preserve">無料→有料 転換率（ランプ到達後の値）</t>
  </si>
  <si>
    <r>
      <rPr>
        <i val="true"/>
        <sz val="9"/>
        <color rgb="FF808080"/>
        <rFont val="Noto Sans CJK SC"/>
        <family val="2"/>
      </rPr>
      <t xml:space="preserve">仮定：業務系スマホアプリの無料→有料転換率（一般に</t>
    </r>
    <r>
      <rPr>
        <i val="true"/>
        <sz val="9"/>
        <color rgb="FF808080"/>
        <rFont val="Arial"/>
        <family val="0"/>
        <charset val="1"/>
      </rPr>
      <t xml:space="preserve">2</t>
    </r>
    <r>
      <rPr>
        <i val="true"/>
        <sz val="9"/>
        <color rgb="FF808080"/>
        <rFont val="Noto Sans CJK SC"/>
        <family val="2"/>
      </rPr>
      <t xml:space="preserve">〜</t>
    </r>
    <r>
      <rPr>
        <i val="true"/>
        <sz val="9"/>
        <color rgb="FF808080"/>
        <rFont val="Arial"/>
        <family val="0"/>
        <charset val="1"/>
      </rPr>
      <t xml:space="preserve">10%</t>
    </r>
    <r>
      <rPr>
        <i val="true"/>
        <sz val="9"/>
        <color rgb="FF808080"/>
        <rFont val="Noto Sans CJK SC"/>
        <family val="2"/>
      </rPr>
      <t xml:space="preserve">）を参考に設定</t>
    </r>
  </si>
  <si>
    <t xml:space="preserve">転換率ランプ期間</t>
  </si>
  <si>
    <t xml:space="preserve">ヶ月</t>
  </si>
  <si>
    <t xml:space="preserve">仮定：信頼形成・機能拡充により転換率が徐々に目標値へ到達すると想定</t>
  </si>
  <si>
    <t xml:space="preserve">有料会員（個人）月次解約率</t>
  </si>
  <si>
    <t xml:space="preserve">仮定：課金後は業務定着し解約率は無料会員より低いと想定</t>
  </si>
  <si>
    <r>
      <rPr>
        <sz val="10"/>
        <color rgb="FF000000"/>
        <rFont val="Noto Sans CJK SC"/>
        <family val="2"/>
      </rPr>
      <t xml:space="preserve">個人</t>
    </r>
    <r>
      <rPr>
        <sz val="10"/>
        <color rgb="FF000000"/>
        <rFont val="Arial"/>
        <family val="0"/>
        <charset val="1"/>
      </rPr>
      <t xml:space="preserve">ARPU</t>
    </r>
    <r>
      <rPr>
        <sz val="10"/>
        <color rgb="FF000000"/>
        <rFont val="Noto Sans CJK SC"/>
        <family val="2"/>
      </rPr>
      <t xml:space="preserve">（月額・税込）</t>
    </r>
  </si>
  <si>
    <t xml:space="preserve">円</t>
  </si>
  <si>
    <r>
      <rPr>
        <i val="true"/>
        <sz val="9"/>
        <color rgb="FF808080"/>
        <rFont val="Noto Sans CJK SC"/>
        <family val="2"/>
      </rPr>
      <t xml:space="preserve">仮定：月額</t>
    </r>
    <r>
      <rPr>
        <i val="true"/>
        <sz val="9"/>
        <color rgb="FF808080"/>
        <rFont val="Arial"/>
        <family val="0"/>
        <charset val="1"/>
      </rPr>
      <t xml:space="preserve">500</t>
    </r>
    <r>
      <rPr>
        <i val="true"/>
        <sz val="9"/>
        <color rgb="FF808080"/>
        <rFont val="Noto Sans CJK SC"/>
        <family val="2"/>
      </rPr>
      <t xml:space="preserve">円</t>
    </r>
    <r>
      <rPr>
        <i val="true"/>
        <sz val="9"/>
        <color rgb="FF808080"/>
        <rFont val="Arial"/>
        <family val="0"/>
        <charset val="1"/>
      </rPr>
      <t xml:space="preserve">/980</t>
    </r>
    <r>
      <rPr>
        <i val="true"/>
        <sz val="9"/>
        <color rgb="FF808080"/>
        <rFont val="Noto Sans CJK SC"/>
        <family val="2"/>
      </rPr>
      <t xml:space="preserve">円プランの混在比率から算出。詳細は本編セクション</t>
    </r>
    <r>
      <rPr>
        <i val="true"/>
        <sz val="9"/>
        <color rgb="FF808080"/>
        <rFont val="Arial"/>
        <family val="0"/>
        <charset val="1"/>
      </rPr>
      <t xml:space="preserve">5</t>
    </r>
    <r>
      <rPr>
        <i val="true"/>
        <sz val="9"/>
        <color rgb="FF808080"/>
        <rFont val="Noto Sans CJK SC"/>
        <family val="2"/>
      </rPr>
      <t xml:space="preserve">参照</t>
    </r>
  </si>
  <si>
    <t xml:space="preserve">■ 法人契約</t>
  </si>
  <si>
    <t xml:space="preserve">法人契約 開始月</t>
  </si>
  <si>
    <t xml:space="preserve">月目</t>
  </si>
  <si>
    <t xml:space="preserve">仮定：個人ユーザー基盤形成後に法人営業を開始</t>
  </si>
  <si>
    <r>
      <rPr>
        <sz val="10"/>
        <color rgb="FF000000"/>
        <rFont val="Noto Sans CJK SC"/>
        <family val="2"/>
      </rPr>
      <t xml:space="preserve">法人新規契約数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月（開始〜</t>
    </r>
    <r>
      <rPr>
        <sz val="10"/>
        <color rgb="FF000000"/>
        <rFont val="Arial"/>
        <family val="0"/>
        <charset val="1"/>
      </rPr>
      <t xml:space="preserve">12</t>
    </r>
    <r>
      <rPr>
        <sz val="10"/>
        <color rgb="FF000000"/>
        <rFont val="Noto Sans CJK SC"/>
        <family val="2"/>
      </rPr>
      <t xml:space="preserve">ヶ月目）</t>
    </r>
  </si>
  <si>
    <t xml:space="preserve">社</t>
  </si>
  <si>
    <r>
      <rPr>
        <i val="true"/>
        <sz val="9"/>
        <color rgb="FF808080"/>
        <rFont val="Noto Sans CJK SC"/>
        <family val="2"/>
      </rPr>
      <t xml:space="preserve">仮定：知人企業・</t>
    </r>
    <r>
      <rPr>
        <i val="true"/>
        <sz val="9"/>
        <color rgb="FF808080"/>
        <rFont val="Arial"/>
        <family val="0"/>
        <charset val="1"/>
      </rPr>
      <t xml:space="preserve">β</t>
    </r>
    <r>
      <rPr>
        <i val="true"/>
        <sz val="9"/>
        <color rgb="FF808080"/>
        <rFont val="Noto Sans CJK SC"/>
        <family val="2"/>
      </rPr>
      <t xml:space="preserve">協力企業からの紹介を想定</t>
    </r>
  </si>
  <si>
    <r>
      <rPr>
        <sz val="10"/>
        <color rgb="FF000000"/>
        <rFont val="Noto Sans CJK SC"/>
        <family val="2"/>
      </rPr>
      <t xml:space="preserve">法人新規契約数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月（</t>
    </r>
    <r>
      <rPr>
        <sz val="10"/>
        <color rgb="FF000000"/>
        <rFont val="Arial"/>
        <family val="0"/>
        <charset val="1"/>
      </rPr>
      <t xml:space="preserve">13</t>
    </r>
    <r>
      <rPr>
        <sz val="10"/>
        <color rgb="FF000000"/>
        <rFont val="Noto Sans CJK SC"/>
        <family val="2"/>
      </rPr>
      <t xml:space="preserve">〜</t>
    </r>
    <r>
      <rPr>
        <sz val="10"/>
        <color rgb="FF000000"/>
        <rFont val="Arial"/>
        <family val="0"/>
        <charset val="1"/>
      </rPr>
      <t xml:space="preserve">24</t>
    </r>
    <r>
      <rPr>
        <sz val="10"/>
        <color rgb="FF000000"/>
        <rFont val="Noto Sans CJK SC"/>
        <family val="2"/>
      </rPr>
      <t xml:space="preserve">ヶ月目）</t>
    </r>
  </si>
  <si>
    <t xml:space="preserve">仮定：実績・事例が蓄積し営業効率が向上</t>
  </si>
  <si>
    <r>
      <rPr>
        <sz val="10"/>
        <color rgb="FF000000"/>
        <rFont val="Noto Sans CJK SC"/>
        <family val="2"/>
      </rPr>
      <t xml:space="preserve">法人新規契約数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月（</t>
    </r>
    <r>
      <rPr>
        <sz val="10"/>
        <color rgb="FF000000"/>
        <rFont val="Arial"/>
        <family val="0"/>
        <charset val="1"/>
      </rPr>
      <t xml:space="preserve">25</t>
    </r>
    <r>
      <rPr>
        <sz val="10"/>
        <color rgb="FF000000"/>
        <rFont val="Noto Sans CJK SC"/>
        <family val="2"/>
      </rPr>
      <t xml:space="preserve">〜</t>
    </r>
    <r>
      <rPr>
        <sz val="10"/>
        <color rgb="FF000000"/>
        <rFont val="Arial"/>
        <family val="0"/>
        <charset val="1"/>
      </rPr>
      <t xml:space="preserve">36</t>
    </r>
    <r>
      <rPr>
        <sz val="10"/>
        <color rgb="FF000000"/>
        <rFont val="Noto Sans CJK SC"/>
        <family val="2"/>
      </rPr>
      <t xml:space="preserve">ヶ月目）</t>
    </r>
  </si>
  <si>
    <t xml:space="preserve">仮定：紹介・展示会経由の引き合い増加を想定</t>
  </si>
  <si>
    <t xml:space="preserve">法人契約 月次解約率</t>
  </si>
  <si>
    <t xml:space="preserve">仮定：個人より解約率は低いが、現場責任者交代等での離脱を想定</t>
  </si>
  <si>
    <r>
      <rPr>
        <sz val="10"/>
        <color rgb="FF000000"/>
        <rFont val="Noto Sans CJK SC"/>
        <family val="2"/>
      </rPr>
      <t xml:space="preserve">法人平均契約単価（月額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社）</t>
    </r>
  </si>
  <si>
    <r>
      <rPr>
        <i val="true"/>
        <sz val="9"/>
        <color rgb="FF808080"/>
        <rFont val="Noto Sans CJK SC"/>
        <family val="2"/>
      </rPr>
      <t xml:space="preserve">仮定：</t>
    </r>
    <r>
      <rPr>
        <i val="true"/>
        <sz val="9"/>
        <color rgb="FF808080"/>
        <rFont val="Arial"/>
        <family val="0"/>
        <charset val="1"/>
      </rPr>
      <t xml:space="preserve">5</t>
    </r>
    <r>
      <rPr>
        <i val="true"/>
        <sz val="9"/>
        <color rgb="FF808080"/>
        <rFont val="Noto Sans CJK SC"/>
        <family val="2"/>
      </rPr>
      <t xml:space="preserve">名・</t>
    </r>
    <r>
      <rPr>
        <i val="true"/>
        <sz val="9"/>
        <color rgb="FF808080"/>
        <rFont val="Arial"/>
        <family val="0"/>
        <charset val="1"/>
      </rPr>
      <t xml:space="preserve">10</t>
    </r>
    <r>
      <rPr>
        <i val="true"/>
        <sz val="9"/>
        <color rgb="FF808080"/>
        <rFont val="Noto Sans CJK SC"/>
        <family val="2"/>
      </rPr>
      <t xml:space="preserve">名プランの混在（</t>
    </r>
    <r>
      <rPr>
        <i val="true"/>
        <sz val="9"/>
        <color rgb="FF808080"/>
        <rFont val="Arial"/>
        <family val="0"/>
        <charset val="1"/>
      </rPr>
      <t xml:space="preserve">1</t>
    </r>
    <r>
      <rPr>
        <i val="true"/>
        <sz val="9"/>
        <color rgb="FF808080"/>
        <rFont val="Noto Sans CJK SC"/>
        <family val="2"/>
      </rPr>
      <t xml:space="preserve">人あたり</t>
    </r>
    <r>
      <rPr>
        <i val="true"/>
        <sz val="9"/>
        <color rgb="FF808080"/>
        <rFont val="Arial"/>
        <family val="0"/>
        <charset val="1"/>
      </rPr>
      <t xml:space="preserve">300</t>
    </r>
    <r>
      <rPr>
        <i val="true"/>
        <sz val="9"/>
        <color rgb="FF808080"/>
        <rFont val="Noto Sans CJK SC"/>
        <family val="2"/>
      </rPr>
      <t xml:space="preserve">〜</t>
    </r>
    <r>
      <rPr>
        <i val="true"/>
        <sz val="9"/>
        <color rgb="FF808080"/>
        <rFont val="Arial"/>
        <family val="0"/>
        <charset val="1"/>
      </rPr>
      <t xml:space="preserve">400</t>
    </r>
    <r>
      <rPr>
        <i val="true"/>
        <sz val="9"/>
        <color rgb="FF808080"/>
        <rFont val="Noto Sans CJK SC"/>
        <family val="2"/>
      </rPr>
      <t xml:space="preserve">円想定）</t>
    </r>
  </si>
  <si>
    <t xml:space="preserve">■ 費用前提</t>
  </si>
  <si>
    <r>
      <rPr>
        <sz val="10"/>
        <color rgb="FF000000"/>
        <rFont val="Noto Sans CJK SC"/>
        <family val="2"/>
      </rPr>
      <t xml:space="preserve">サーバー・インフラ費（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〜</t>
    </r>
    <r>
      <rPr>
        <sz val="10"/>
        <color rgb="FF000000"/>
        <rFont val="Arial"/>
        <family val="0"/>
        <charset val="1"/>
      </rPr>
      <t xml:space="preserve">12</t>
    </r>
    <r>
      <rPr>
        <sz val="10"/>
        <color rgb="FF000000"/>
        <rFont val="Noto Sans CJK SC"/>
        <family val="2"/>
      </rPr>
      <t xml:space="preserve">ヶ月目）</t>
    </r>
  </si>
  <si>
    <r>
      <rPr>
        <i val="true"/>
        <sz val="9"/>
        <color rgb="FF808080"/>
        <rFont val="Noto Sans CJK SC"/>
        <family val="2"/>
      </rPr>
      <t xml:space="preserve">円</t>
    </r>
    <r>
      <rPr>
        <i val="true"/>
        <sz val="9"/>
        <color rgb="FF808080"/>
        <rFont val="Arial"/>
        <family val="0"/>
        <charset val="1"/>
      </rPr>
      <t xml:space="preserve">/</t>
    </r>
    <r>
      <rPr>
        <i val="true"/>
        <sz val="9"/>
        <color rgb="FF808080"/>
        <rFont val="Noto Sans CJK SC"/>
        <family val="2"/>
      </rPr>
      <t xml:space="preserve">月</t>
    </r>
  </si>
  <si>
    <r>
      <rPr>
        <i val="true"/>
        <sz val="9"/>
        <color rgb="FF808080"/>
        <rFont val="Noto Sans CJK SC"/>
        <family val="2"/>
      </rPr>
      <t xml:space="preserve">仮定：</t>
    </r>
    <r>
      <rPr>
        <i val="true"/>
        <sz val="9"/>
        <color rgb="FF808080"/>
        <rFont val="Arial"/>
        <family val="0"/>
        <charset val="1"/>
      </rPr>
      <t xml:space="preserve">GitHub Pages</t>
    </r>
    <r>
      <rPr>
        <i val="true"/>
        <sz val="9"/>
        <color rgb="FF808080"/>
        <rFont val="Noto Sans CJK SC"/>
        <family val="2"/>
      </rPr>
      <t xml:space="preserve">無料枠＋小規模</t>
    </r>
    <r>
      <rPr>
        <i val="true"/>
        <sz val="9"/>
        <color rgb="FF808080"/>
        <rFont val="Arial"/>
        <family val="0"/>
        <charset val="1"/>
      </rPr>
      <t xml:space="preserve">VPS/CDN</t>
    </r>
    <r>
      <rPr>
        <i val="true"/>
        <sz val="9"/>
        <color rgb="FF808080"/>
        <rFont val="Noto Sans CJK SC"/>
        <family val="2"/>
      </rPr>
      <t xml:space="preserve">費用の目安</t>
    </r>
  </si>
  <si>
    <r>
      <rPr>
        <sz val="10"/>
        <color rgb="FF000000"/>
        <rFont val="Noto Sans CJK SC"/>
        <family val="2"/>
      </rPr>
      <t xml:space="preserve">サーバー・インフラ費（</t>
    </r>
    <r>
      <rPr>
        <sz val="10"/>
        <color rgb="FF000000"/>
        <rFont val="Arial"/>
        <family val="0"/>
        <charset val="1"/>
      </rPr>
      <t xml:space="preserve">13</t>
    </r>
    <r>
      <rPr>
        <sz val="10"/>
        <color rgb="FF000000"/>
        <rFont val="Noto Sans CJK SC"/>
        <family val="2"/>
      </rPr>
      <t xml:space="preserve">ヶ月目以降）</t>
    </r>
  </si>
  <si>
    <t xml:space="preserve">仮定：利用増に伴うインフラ増強（要確認：実際の構成により変動）</t>
  </si>
  <si>
    <r>
      <rPr>
        <sz val="10"/>
        <color rgb="FF000000"/>
        <rFont val="Arial"/>
        <family val="0"/>
        <charset val="1"/>
      </rPr>
      <t xml:space="preserve">Firebase</t>
    </r>
    <r>
      <rPr>
        <sz val="10"/>
        <color rgb="FF000000"/>
        <rFont val="Noto Sans CJK SC"/>
        <family val="2"/>
      </rPr>
      <t xml:space="preserve">従量費 単価</t>
    </r>
  </si>
  <si>
    <r>
      <rPr>
        <i val="true"/>
        <sz val="9"/>
        <color rgb="FF808080"/>
        <rFont val="Noto Sans CJK SC"/>
        <family val="2"/>
      </rPr>
      <t xml:space="preserve">円</t>
    </r>
    <r>
      <rPr>
        <i val="true"/>
        <sz val="9"/>
        <color rgb="FF808080"/>
        <rFont val="Arial"/>
        <family val="0"/>
        <charset val="1"/>
      </rPr>
      <t xml:space="preserve">/MAU/</t>
    </r>
    <r>
      <rPr>
        <i val="true"/>
        <sz val="9"/>
        <color rgb="FF808080"/>
        <rFont val="Noto Sans CJK SC"/>
        <family val="2"/>
      </rPr>
      <t xml:space="preserve">月</t>
    </r>
  </si>
  <si>
    <r>
      <rPr>
        <i val="true"/>
        <sz val="9"/>
        <color rgb="FF808080"/>
        <rFont val="Noto Sans CJK SC"/>
        <family val="2"/>
      </rPr>
      <t xml:space="preserve">仮定：</t>
    </r>
    <r>
      <rPr>
        <i val="true"/>
        <sz val="9"/>
        <color rgb="FF808080"/>
        <rFont val="Arial"/>
        <family val="0"/>
        <charset val="1"/>
      </rPr>
      <t xml:space="preserve">Firestore</t>
    </r>
    <r>
      <rPr>
        <i val="true"/>
        <sz val="9"/>
        <color rgb="FF808080"/>
        <rFont val="Noto Sans CJK SC"/>
        <family val="2"/>
      </rPr>
      <t xml:space="preserve">読み書き・認証・</t>
    </r>
    <r>
      <rPr>
        <i val="true"/>
        <sz val="9"/>
        <color rgb="FF808080"/>
        <rFont val="Arial"/>
        <family val="0"/>
        <charset val="1"/>
      </rPr>
      <t xml:space="preserve">Hosting</t>
    </r>
    <r>
      <rPr>
        <i val="true"/>
        <sz val="9"/>
        <color rgb="FF808080"/>
        <rFont val="Noto Sans CJK SC"/>
        <family val="2"/>
      </rPr>
      <t xml:space="preserve">従量課金の概算（要確認：実利用量で変動）</t>
    </r>
  </si>
  <si>
    <r>
      <rPr>
        <sz val="10"/>
        <color rgb="FF000000"/>
        <rFont val="Arial"/>
        <family val="0"/>
        <charset val="1"/>
      </rPr>
      <t xml:space="preserve">AI API</t>
    </r>
    <r>
      <rPr>
        <sz val="10"/>
        <color rgb="FF000000"/>
        <rFont val="Noto Sans CJK SC"/>
        <family val="2"/>
      </rPr>
      <t xml:space="preserve">費 単価（限定</t>
    </r>
    <r>
      <rPr>
        <sz val="10"/>
        <color rgb="FF000000"/>
        <rFont val="Arial"/>
        <family val="0"/>
        <charset val="1"/>
      </rPr>
      <t xml:space="preserve">AI</t>
    </r>
    <r>
      <rPr>
        <sz val="10"/>
        <color rgb="FF000000"/>
        <rFont val="Noto Sans CJK SC"/>
        <family val="2"/>
      </rPr>
      <t xml:space="preserve">版）</t>
    </r>
  </si>
  <si>
    <r>
      <rPr>
        <i val="true"/>
        <sz val="9"/>
        <color rgb="FF808080"/>
        <rFont val="Noto Sans CJK SC"/>
        <family val="2"/>
      </rPr>
      <t xml:space="preserve">円</t>
    </r>
    <r>
      <rPr>
        <i val="true"/>
        <sz val="9"/>
        <color rgb="FF808080"/>
        <rFont val="Arial"/>
        <family val="0"/>
        <charset val="1"/>
      </rPr>
      <t xml:space="preserve">/</t>
    </r>
    <r>
      <rPr>
        <i val="true"/>
        <sz val="9"/>
        <color rgb="FF808080"/>
        <rFont val="Noto Sans CJK SC"/>
        <family val="2"/>
      </rPr>
      <t xml:space="preserve">有料会員</t>
    </r>
    <r>
      <rPr>
        <i val="true"/>
        <sz val="9"/>
        <color rgb="FF808080"/>
        <rFont val="Arial"/>
        <family val="0"/>
        <charset val="1"/>
      </rPr>
      <t xml:space="preserve">/</t>
    </r>
    <r>
      <rPr>
        <i val="true"/>
        <sz val="9"/>
        <color rgb="FF808080"/>
        <rFont val="Noto Sans CJK SC"/>
        <family val="2"/>
      </rPr>
      <t xml:space="preserve">月</t>
    </r>
  </si>
  <si>
    <r>
      <rPr>
        <i val="true"/>
        <sz val="9"/>
        <color rgb="FF808080"/>
        <rFont val="Noto Sans CJK SC"/>
        <family val="2"/>
      </rPr>
      <t xml:space="preserve">仮定：用語検索など軽量な</t>
    </r>
    <r>
      <rPr>
        <i val="true"/>
        <sz val="9"/>
        <color rgb="FF808080"/>
        <rFont val="Arial"/>
        <family val="0"/>
        <charset val="1"/>
      </rPr>
      <t xml:space="preserve">AI</t>
    </r>
    <r>
      <rPr>
        <i val="true"/>
        <sz val="9"/>
        <color rgb="FF808080"/>
        <rFont val="Noto Sans CJK SC"/>
        <family val="2"/>
      </rPr>
      <t xml:space="preserve">呼び出しに限定した場合の概算</t>
    </r>
  </si>
  <si>
    <r>
      <rPr>
        <sz val="10"/>
        <color rgb="FF000000"/>
        <rFont val="Arial"/>
        <family val="0"/>
        <charset val="1"/>
      </rPr>
      <t xml:space="preserve">AI API</t>
    </r>
    <r>
      <rPr>
        <sz val="10"/>
        <color rgb="FF000000"/>
        <rFont val="Noto Sans CJK SC"/>
        <family val="2"/>
      </rPr>
      <t xml:space="preserve">費 単価（拡張</t>
    </r>
    <r>
      <rPr>
        <sz val="10"/>
        <color rgb="FF000000"/>
        <rFont val="Arial"/>
        <family val="0"/>
        <charset val="1"/>
      </rPr>
      <t xml:space="preserve">AI</t>
    </r>
    <r>
      <rPr>
        <sz val="10"/>
        <color rgb="FF000000"/>
        <rFont val="Noto Sans CJK SC"/>
        <family val="2"/>
      </rPr>
      <t xml:space="preserve">版・参考比較用）</t>
    </r>
  </si>
  <si>
    <r>
      <rPr>
        <i val="true"/>
        <sz val="9"/>
        <color rgb="FF808080"/>
        <rFont val="Noto Sans CJK SC"/>
        <family val="2"/>
      </rPr>
      <t xml:space="preserve">仮定：</t>
    </r>
    <r>
      <rPr>
        <i val="true"/>
        <sz val="9"/>
        <color rgb="FF808080"/>
        <rFont val="Arial"/>
        <family val="0"/>
        <charset val="1"/>
      </rPr>
      <t xml:space="preserve">AI</t>
    </r>
    <r>
      <rPr>
        <i val="true"/>
        <sz val="9"/>
        <color rgb="FF808080"/>
        <rFont val="Noto Sans CJK SC"/>
        <family val="2"/>
      </rPr>
      <t xml:space="preserve">チャット相談・画像解析等を多用した場合の概算（</t>
    </r>
    <r>
      <rPr>
        <i val="true"/>
        <sz val="9"/>
        <color rgb="FF808080"/>
        <rFont val="Arial"/>
        <family val="0"/>
        <charset val="1"/>
      </rPr>
      <t xml:space="preserve">AI</t>
    </r>
    <r>
      <rPr>
        <i val="true"/>
        <sz val="9"/>
        <color rgb="FF808080"/>
        <rFont val="Noto Sans CJK SC"/>
        <family val="2"/>
      </rPr>
      <t xml:space="preserve">費用比較シート参照）</t>
    </r>
  </si>
  <si>
    <t xml:space="preserve">決済・ストア手数料率</t>
  </si>
  <si>
    <r>
      <rPr>
        <i val="true"/>
        <sz val="9"/>
        <color rgb="FF808080"/>
        <rFont val="Noto Sans CJK SC"/>
        <family val="2"/>
      </rPr>
      <t xml:space="preserve">仮定：</t>
    </r>
    <r>
      <rPr>
        <i val="true"/>
        <sz val="9"/>
        <color rgb="FF808080"/>
        <rFont val="Arial"/>
        <family val="0"/>
        <charset val="1"/>
      </rPr>
      <t xml:space="preserve">Google Play</t>
    </r>
    <r>
      <rPr>
        <i val="true"/>
        <sz val="9"/>
        <color rgb="FF808080"/>
        <rFont val="Noto Sans CJK SC"/>
        <family val="2"/>
      </rPr>
      <t xml:space="preserve">サブスク手数料</t>
    </r>
    <r>
      <rPr>
        <i val="true"/>
        <sz val="9"/>
        <color rgb="FF808080"/>
        <rFont val="Arial"/>
        <family val="0"/>
        <charset val="1"/>
      </rPr>
      <t xml:space="preserve">10%</t>
    </r>
    <r>
      <rPr>
        <i val="true"/>
        <sz val="9"/>
        <color rgb="FF808080"/>
        <rFont val="Noto Sans CJK SC"/>
        <family val="2"/>
      </rPr>
      <t xml:space="preserve">（</t>
    </r>
    <r>
      <rPr>
        <i val="true"/>
        <sz val="9"/>
        <color rgb="FF808080"/>
        <rFont val="Arial"/>
        <family val="0"/>
        <charset val="1"/>
      </rPr>
      <t xml:space="preserve">2026</t>
    </r>
    <r>
      <rPr>
        <i val="true"/>
        <sz val="9"/>
        <color rgb="FF808080"/>
        <rFont val="Noto Sans CJK SC"/>
        <family val="2"/>
      </rPr>
      <t xml:space="preserve">年</t>
    </r>
    <r>
      <rPr>
        <i val="true"/>
        <sz val="9"/>
        <color rgb="FF808080"/>
        <rFont val="Arial"/>
        <family val="0"/>
        <charset val="1"/>
      </rPr>
      <t xml:space="preserve">6</t>
    </r>
    <r>
      <rPr>
        <i val="true"/>
        <sz val="9"/>
        <color rgb="FF808080"/>
        <rFont val="Noto Sans CJK SC"/>
        <family val="2"/>
      </rPr>
      <t xml:space="preserve">月改定後）と、</t>
    </r>
    <r>
      <rPr>
        <i val="true"/>
        <sz val="9"/>
        <color rgb="FF808080"/>
        <rFont val="Arial"/>
        <family val="0"/>
        <charset val="1"/>
      </rPr>
      <t xml:space="preserve">Web</t>
    </r>
    <r>
      <rPr>
        <i val="true"/>
        <sz val="9"/>
        <color rgb="FF808080"/>
        <rFont val="Noto Sans CJK SC"/>
        <family val="2"/>
      </rPr>
      <t xml:space="preserve">直販時の決済手数料（</t>
    </r>
    <r>
      <rPr>
        <i val="true"/>
        <sz val="9"/>
        <color rgb="FF808080"/>
        <rFont val="Arial"/>
        <family val="0"/>
        <charset val="1"/>
      </rPr>
      <t xml:space="preserve">Stripe</t>
    </r>
    <r>
      <rPr>
        <i val="true"/>
        <sz val="9"/>
        <color rgb="FF808080"/>
        <rFont val="Noto Sans CJK SC"/>
        <family val="2"/>
      </rPr>
      <t xml:space="preserve">目安</t>
    </r>
    <r>
      <rPr>
        <i val="true"/>
        <sz val="9"/>
        <color rgb="FF808080"/>
        <rFont val="Arial"/>
        <family val="0"/>
        <charset val="1"/>
      </rPr>
      <t xml:space="preserve">3.6%</t>
    </r>
    <r>
      <rPr>
        <i val="true"/>
        <sz val="9"/>
        <color rgb="FF808080"/>
        <rFont val="Noto Sans CJK SC"/>
        <family val="2"/>
      </rPr>
      <t xml:space="preserve">等）</t>
    </r>
  </si>
  <si>
    <r>
      <rPr>
        <sz val="10"/>
        <color rgb="FF000000"/>
        <rFont val="Noto Sans CJK SC"/>
        <family val="2"/>
      </rPr>
      <t xml:space="preserve">広告・マーケティング費（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〜</t>
    </r>
    <r>
      <rPr>
        <sz val="10"/>
        <color rgb="FF000000"/>
        <rFont val="Arial"/>
        <family val="0"/>
        <charset val="1"/>
      </rPr>
      <t xml:space="preserve">12</t>
    </r>
    <r>
      <rPr>
        <sz val="10"/>
        <color rgb="FF000000"/>
        <rFont val="Noto Sans CJK SC"/>
        <family val="2"/>
      </rPr>
      <t xml:space="preserve">ヶ月目）</t>
    </r>
  </si>
  <si>
    <r>
      <rPr>
        <i val="true"/>
        <sz val="9"/>
        <color rgb="FF808080"/>
        <rFont val="Noto Sans CJK SC"/>
        <family val="2"/>
      </rPr>
      <t xml:space="preserve">仮定：低予算の</t>
    </r>
    <r>
      <rPr>
        <i val="true"/>
        <sz val="9"/>
        <color rgb="FF808080"/>
        <rFont val="Arial"/>
        <family val="0"/>
        <charset val="1"/>
      </rPr>
      <t xml:space="preserve">SNS</t>
    </r>
    <r>
      <rPr>
        <i val="true"/>
        <sz val="9"/>
        <color rgb="FF808080"/>
        <rFont val="Noto Sans CJK SC"/>
        <family val="2"/>
      </rPr>
      <t xml:space="preserve">運用＋一部有料広告</t>
    </r>
  </si>
  <si>
    <r>
      <rPr>
        <sz val="10"/>
        <color rgb="FF000000"/>
        <rFont val="Noto Sans CJK SC"/>
        <family val="2"/>
      </rPr>
      <t xml:space="preserve">広告・マーケティング費（</t>
    </r>
    <r>
      <rPr>
        <sz val="10"/>
        <color rgb="FF000000"/>
        <rFont val="Arial"/>
        <family val="0"/>
        <charset val="1"/>
      </rPr>
      <t xml:space="preserve">13</t>
    </r>
    <r>
      <rPr>
        <sz val="10"/>
        <color rgb="FF000000"/>
        <rFont val="Noto Sans CJK SC"/>
        <family val="2"/>
      </rPr>
      <t xml:space="preserve">〜</t>
    </r>
    <r>
      <rPr>
        <sz val="10"/>
        <color rgb="FF000000"/>
        <rFont val="Arial"/>
        <family val="0"/>
        <charset val="1"/>
      </rPr>
      <t xml:space="preserve">24</t>
    </r>
    <r>
      <rPr>
        <sz val="10"/>
        <color rgb="FF000000"/>
        <rFont val="Noto Sans CJK SC"/>
        <family val="2"/>
      </rPr>
      <t xml:space="preserve">ヶ月目）</t>
    </r>
  </si>
  <si>
    <t xml:space="preserve">仮定：売上成長に応じた再投資</t>
  </si>
  <si>
    <r>
      <rPr>
        <sz val="10"/>
        <color rgb="FF000000"/>
        <rFont val="Noto Sans CJK SC"/>
        <family val="2"/>
      </rPr>
      <t xml:space="preserve">広告・マーケティング費（</t>
    </r>
    <r>
      <rPr>
        <sz val="10"/>
        <color rgb="FF000000"/>
        <rFont val="Arial"/>
        <family val="0"/>
        <charset val="1"/>
      </rPr>
      <t xml:space="preserve">25</t>
    </r>
    <r>
      <rPr>
        <sz val="10"/>
        <color rgb="FF000000"/>
        <rFont val="Noto Sans CJK SC"/>
        <family val="2"/>
      </rPr>
      <t xml:space="preserve">〜</t>
    </r>
    <r>
      <rPr>
        <sz val="10"/>
        <color rgb="FF000000"/>
        <rFont val="Arial"/>
        <family val="0"/>
        <charset val="1"/>
      </rPr>
      <t xml:space="preserve">36</t>
    </r>
    <r>
      <rPr>
        <sz val="10"/>
        <color rgb="FF000000"/>
        <rFont val="Noto Sans CJK SC"/>
        <family val="2"/>
      </rPr>
      <t xml:space="preserve">ヶ月目）</t>
    </r>
  </si>
  <si>
    <t xml:space="preserve">仮定：ブランド確立後も一定投資を継続</t>
  </si>
  <si>
    <t xml:space="preserve">カスタマーサポート費 発動閾値（有料会員数）</t>
  </si>
  <si>
    <t xml:space="preserve">仮定：この人数を超えたら外部委託または人員追加が必要と想定</t>
  </si>
  <si>
    <t xml:space="preserve">カスタマーサポート費（閾値超過後）</t>
  </si>
  <si>
    <t xml:space="preserve">仮定：パートタイム相当の対応工数</t>
  </si>
  <si>
    <t xml:space="preserve">法人営業費 発動閾値（契約社数）</t>
  </si>
  <si>
    <t xml:space="preserve">仮定：この社数を超えたら営業活動の本格化が必要と想定</t>
  </si>
  <si>
    <t xml:space="preserve">法人営業費（閾値超過後）</t>
  </si>
  <si>
    <t xml:space="preserve">仮定：営業委託または人員一部投入の概算</t>
  </si>
  <si>
    <t xml:space="preserve">予備費率（総費用に対する比率）</t>
  </si>
  <si>
    <t xml:space="preserve">仮定：想定外費用に備えた一般的なバッファ</t>
  </si>
  <si>
    <r>
      <rPr>
        <b val="true"/>
        <sz val="14"/>
        <color rgb="FF000000"/>
        <rFont val="Noto Sans CJK SC"/>
        <family val="2"/>
      </rPr>
      <t xml:space="preserve">現場でんき探偵</t>
    </r>
    <r>
      <rPr>
        <b val="true"/>
        <sz val="14"/>
        <color rgb="FF000000"/>
        <rFont val="Arial"/>
        <family val="0"/>
        <charset val="1"/>
      </rPr>
      <t xml:space="preserve">Pro ― </t>
    </r>
    <r>
      <rPr>
        <b val="true"/>
        <sz val="14"/>
        <color rgb="FF000000"/>
        <rFont val="Noto Sans CJK SC"/>
        <family val="2"/>
      </rPr>
      <t xml:space="preserve">慎重ケース（月次モデル・</t>
    </r>
    <r>
      <rPr>
        <b val="true"/>
        <sz val="14"/>
        <color rgb="FF000000"/>
        <rFont val="Arial"/>
        <family val="0"/>
        <charset val="1"/>
      </rPr>
      <t xml:space="preserve">36</t>
    </r>
    <r>
      <rPr>
        <b val="true"/>
        <sz val="14"/>
        <color rgb="FF000000"/>
        <rFont val="Noto Sans CJK SC"/>
        <family val="2"/>
      </rPr>
      <t xml:space="preserve">ヶ月）</t>
    </r>
  </si>
  <si>
    <t xml:space="preserve">青文字セルなし＝本シートは全セルが数式。入力値は「前提条件」シートで編集してください。</t>
  </si>
  <si>
    <t xml:space="preserve">月</t>
  </si>
  <si>
    <t xml:space="preserve">ストア閲覧数</t>
  </si>
  <si>
    <r>
      <rPr>
        <b val="true"/>
        <sz val="11"/>
        <color rgb="FFFFFFFF"/>
        <rFont val="Noto Sans CJK SC"/>
        <family val="2"/>
      </rPr>
      <t xml:space="preserve">新規</t>
    </r>
    <r>
      <rPr>
        <b val="true"/>
        <sz val="11"/>
        <color rgb="FFFFFFFF"/>
        <rFont val="Arial"/>
        <family val="0"/>
        <charset val="1"/>
      </rPr>
      <t xml:space="preserve">DL</t>
    </r>
    <r>
      <rPr>
        <b val="true"/>
        <sz val="11"/>
        <color rgb="FFFFFFFF"/>
        <rFont val="Noto Sans CJK SC"/>
        <family val="2"/>
      </rPr>
      <t xml:space="preserve">数</t>
    </r>
  </si>
  <si>
    <r>
      <rPr>
        <b val="true"/>
        <sz val="11"/>
        <color rgb="FFFFFFFF"/>
        <rFont val="Noto Sans CJK SC"/>
        <family val="2"/>
      </rPr>
      <t xml:space="preserve">累計</t>
    </r>
    <r>
      <rPr>
        <b val="true"/>
        <sz val="11"/>
        <color rgb="FFFFFFFF"/>
        <rFont val="Arial"/>
        <family val="0"/>
        <charset val="1"/>
      </rPr>
      <t xml:space="preserve">DL</t>
    </r>
    <r>
      <rPr>
        <b val="true"/>
        <sz val="11"/>
        <color rgb="FFFFFFFF"/>
        <rFont val="Noto Sans CJK SC"/>
        <family val="2"/>
      </rPr>
      <t xml:space="preserve">数</t>
    </r>
  </si>
  <si>
    <t xml:space="preserve">無料会員数</t>
  </si>
  <si>
    <r>
      <rPr>
        <b val="true"/>
        <sz val="11"/>
        <color rgb="FFFFFFFF"/>
        <rFont val="Noto Sans CJK SC"/>
        <family val="2"/>
      </rPr>
      <t xml:space="preserve">有料会員数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個人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</si>
  <si>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b val="true"/>
        <sz val="11"/>
        <color rgb="FFFFFFFF"/>
        <rFont val="Arial"/>
        <family val="0"/>
        <charset val="1"/>
      </rPr>
      <t xml:space="preserve">MAU(</t>
    </r>
    <r>
      <rPr>
        <b val="true"/>
        <sz val="11"/>
        <color rgb="FFFFFFFF"/>
        <rFont val="Noto Sans CJK SC"/>
        <family val="2"/>
      </rPr>
      <t xml:space="preserve">月間利用者数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</si>
  <si>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b val="true"/>
        <sz val="11"/>
        <color rgb="FFFFFFFF"/>
        <rFont val="Noto Sans CJK SC"/>
        <family val="2"/>
      </rPr>
      <t xml:space="preserve">当月転換率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無料→有料</t>
    </r>
    <r>
      <rPr>
        <b val="true"/>
        <sz val="11"/>
        <color rgb="FFFFFFFF"/>
        <rFont val="Arial"/>
        <family val="0"/>
        <charset val="1"/>
      </rPr>
      <t xml:space="preserve">)</t>
    </r>
  </si>
  <si>
    <t xml:space="preserve">新規有料転換数</t>
  </si>
  <si>
    <r>
      <rPr>
        <b val="true"/>
        <sz val="11"/>
        <color rgb="FFFFFFFF"/>
        <rFont val="Noto Sans CJK SC"/>
        <family val="2"/>
      </rPr>
      <t xml:space="preserve">個人課金売上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円</t>
    </r>
    <r>
      <rPr>
        <b val="true"/>
        <sz val="11"/>
        <color rgb="FFFFFFFF"/>
        <rFont val="Arial"/>
        <family val="0"/>
        <charset val="1"/>
      </rPr>
      <t xml:space="preserve">)</t>
    </r>
  </si>
  <si>
    <t xml:space="preserve">法人新規契約数</t>
  </si>
  <si>
    <t xml:space="preserve">法人契約数累計</t>
  </si>
  <si>
    <r>
      <rPr>
        <b val="true"/>
        <sz val="11"/>
        <color rgb="FFFFFFFF"/>
        <rFont val="Noto Sans CJK SC"/>
        <family val="2"/>
      </rPr>
      <t xml:space="preserve">法人売上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円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</si>
  <si>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b val="true"/>
        <sz val="11"/>
        <color rgb="FFFFFFFF"/>
        <rFont val="Noto Sans CJK SC"/>
        <family val="2"/>
      </rPr>
      <t xml:space="preserve">売上合計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円</t>
    </r>
    <r>
      <rPr>
        <b val="true"/>
        <sz val="11"/>
        <color rgb="FFFFFFFF"/>
        <rFont val="Arial"/>
        <family val="0"/>
        <charset val="1"/>
      </rPr>
      <t xml:space="preserve">)</t>
    </r>
  </si>
  <si>
    <t xml:space="preserve">サーバー・インフラ費</t>
  </si>
  <si>
    <r>
      <rPr>
        <b val="true"/>
        <sz val="11"/>
        <color rgb="FFFFFFFF"/>
        <rFont val="Arial"/>
        <family val="0"/>
        <charset val="1"/>
      </rPr>
      <t xml:space="preserve">Firebase</t>
    </r>
    <r>
      <rPr>
        <b val="true"/>
        <sz val="11"/>
        <color rgb="FFFFFFFF"/>
        <rFont val="Noto Sans CJK SC"/>
        <family val="2"/>
      </rPr>
      <t xml:space="preserve">従量費</t>
    </r>
  </si>
  <si>
    <r>
      <rPr>
        <b val="true"/>
        <sz val="11"/>
        <color rgb="FFFFFFFF"/>
        <rFont val="Arial"/>
        <family val="0"/>
        <charset val="1"/>
      </rPr>
      <t xml:space="preserve">AI API</t>
    </r>
    <r>
      <rPr>
        <b val="true"/>
        <sz val="11"/>
        <color rgb="FFFFFFFF"/>
        <rFont val="Noto Sans CJK SC"/>
        <family val="2"/>
      </rPr>
      <t xml:space="preserve">費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限定</t>
    </r>
    <r>
      <rPr>
        <b val="true"/>
        <sz val="11"/>
        <color rgb="FFFFFFFF"/>
        <rFont val="Arial"/>
        <family val="0"/>
        <charset val="1"/>
      </rPr>
      <t xml:space="preserve">AI</t>
    </r>
    <r>
      <rPr>
        <b val="true"/>
        <sz val="11"/>
        <color rgb="FFFFFFFF"/>
        <rFont val="Noto Sans CJK SC"/>
        <family val="2"/>
      </rPr>
      <t xml:space="preserve">版</t>
    </r>
    <r>
      <rPr>
        <b val="true"/>
        <sz val="11"/>
        <color rgb="FFFFFFFF"/>
        <rFont val="Arial"/>
        <family val="0"/>
        <charset val="1"/>
      </rPr>
      <t xml:space="preserve">)</t>
    </r>
  </si>
  <si>
    <t xml:space="preserve">決済・ストア手数料</t>
  </si>
  <si>
    <t xml:space="preserve">広告・マーケティング費</t>
  </si>
  <si>
    <r>
      <rPr>
        <b val="true"/>
        <sz val="11"/>
        <color rgb="FFFFFFFF"/>
        <rFont val="Arial"/>
        <family val="0"/>
        <charset val="1"/>
      </rPr>
      <t xml:space="preserve">CS</t>
    </r>
    <r>
      <rPr>
        <b val="true"/>
        <sz val="11"/>
        <color rgb="FFFFFFFF"/>
        <rFont val="Noto Sans CJK SC"/>
        <family val="2"/>
      </rPr>
      <t xml:space="preserve">費</t>
    </r>
  </si>
  <si>
    <t xml:space="preserve">法人営業費</t>
  </si>
  <si>
    <t xml:space="preserve">予備費</t>
  </si>
  <si>
    <r>
      <rPr>
        <b val="true"/>
        <sz val="11"/>
        <color rgb="FFFFFFFF"/>
        <rFont val="Noto Sans CJK SC"/>
        <family val="2"/>
      </rPr>
      <t xml:space="preserve">費用合計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円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</si>
  <si>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b val="true"/>
        <sz val="11"/>
        <color rgb="FFFFFFFF"/>
        <rFont val="Noto Sans CJK SC"/>
        <family val="2"/>
      </rPr>
      <t xml:space="preserve">月次損益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円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</si>
  <si>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b val="true"/>
        <sz val="11"/>
        <color rgb="FFFFFFFF"/>
        <rFont val="Noto Sans CJK SC"/>
        <family val="2"/>
      </rPr>
      <t xml:space="preserve">累計損益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円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</si>
  <si>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b val="true"/>
        <sz val="14"/>
        <color rgb="FF000000"/>
        <rFont val="Noto Sans CJK SC"/>
        <family val="2"/>
      </rPr>
      <t xml:space="preserve">現場でんき探偵</t>
    </r>
    <r>
      <rPr>
        <b val="true"/>
        <sz val="14"/>
        <color rgb="FF000000"/>
        <rFont val="Arial"/>
        <family val="0"/>
        <charset val="1"/>
      </rPr>
      <t xml:space="preserve">Pro ― </t>
    </r>
    <r>
      <rPr>
        <b val="true"/>
        <sz val="14"/>
        <color rgb="FF000000"/>
        <rFont val="Noto Sans CJK SC"/>
        <family val="2"/>
      </rPr>
      <t xml:space="preserve">標準ケース（月次モデル・</t>
    </r>
    <r>
      <rPr>
        <b val="true"/>
        <sz val="14"/>
        <color rgb="FF000000"/>
        <rFont val="Arial"/>
        <family val="0"/>
        <charset val="1"/>
      </rPr>
      <t xml:space="preserve">36</t>
    </r>
    <r>
      <rPr>
        <b val="true"/>
        <sz val="14"/>
        <color rgb="FF000000"/>
        <rFont val="Noto Sans CJK SC"/>
        <family val="2"/>
      </rPr>
      <t xml:space="preserve">ヶ月）</t>
    </r>
  </si>
  <si>
    <r>
      <rPr>
        <b val="true"/>
        <sz val="14"/>
        <color rgb="FF000000"/>
        <rFont val="Noto Sans CJK SC"/>
        <family val="2"/>
      </rPr>
      <t xml:space="preserve">現場でんき探偵</t>
    </r>
    <r>
      <rPr>
        <b val="true"/>
        <sz val="14"/>
        <color rgb="FF000000"/>
        <rFont val="Arial"/>
        <family val="0"/>
        <charset val="1"/>
      </rPr>
      <t xml:space="preserve">Pro ― </t>
    </r>
    <r>
      <rPr>
        <b val="true"/>
        <sz val="14"/>
        <color rgb="FF000000"/>
        <rFont val="Noto Sans CJK SC"/>
        <family val="2"/>
      </rPr>
      <t xml:space="preserve">好調ケース（月次モデル・</t>
    </r>
    <r>
      <rPr>
        <b val="true"/>
        <sz val="14"/>
        <color rgb="FF000000"/>
        <rFont val="Arial"/>
        <family val="0"/>
        <charset val="1"/>
      </rPr>
      <t xml:space="preserve">36</t>
    </r>
    <r>
      <rPr>
        <b val="true"/>
        <sz val="14"/>
        <color rgb="FF000000"/>
        <rFont val="Noto Sans CJK SC"/>
        <family val="2"/>
      </rPr>
      <t xml:space="preserve">ヶ月）</t>
    </r>
  </si>
  <si>
    <r>
      <rPr>
        <b val="true"/>
        <sz val="14"/>
        <color rgb="FF000000"/>
        <rFont val="Noto Sans CJK SC"/>
        <family val="2"/>
      </rPr>
      <t xml:space="preserve">現場でんき探偵</t>
    </r>
    <r>
      <rPr>
        <b val="true"/>
        <sz val="14"/>
        <color rgb="FF000000"/>
        <rFont val="Arial"/>
        <family val="0"/>
        <charset val="1"/>
      </rPr>
      <t xml:space="preserve">Pro ― </t>
    </r>
    <r>
      <rPr>
        <b val="true"/>
        <sz val="14"/>
        <color rgb="FF000000"/>
        <rFont val="Noto Sans CJK SC"/>
        <family val="2"/>
      </rPr>
      <t xml:space="preserve">サマリー比較（</t>
    </r>
    <r>
      <rPr>
        <b val="true"/>
        <sz val="14"/>
        <color rgb="FF000000"/>
        <rFont val="Arial"/>
        <family val="0"/>
        <charset val="1"/>
      </rPr>
      <t xml:space="preserve">12/24/36</t>
    </r>
    <r>
      <rPr>
        <b val="true"/>
        <sz val="14"/>
        <color rgb="FF000000"/>
        <rFont val="Noto Sans CJK SC"/>
        <family val="2"/>
      </rPr>
      <t xml:space="preserve">ヶ月時点 </t>
    </r>
    <r>
      <rPr>
        <b val="true"/>
        <sz val="14"/>
        <color rgb="FF000000"/>
        <rFont val="Arial"/>
        <family val="0"/>
        <charset val="1"/>
      </rPr>
      <t xml:space="preserve">× 3</t>
    </r>
    <r>
      <rPr>
        <b val="true"/>
        <sz val="14"/>
        <color rgb="FF000000"/>
        <rFont val="Noto Sans CJK SC"/>
        <family val="2"/>
      </rPr>
      <t xml:space="preserve">シナリオ）</t>
    </r>
  </si>
  <si>
    <t xml:space="preserve">各数値は該当シナリオシートの数式を参照。前提条件を変更すると自動更新されます。</t>
  </si>
  <si>
    <r>
      <rPr>
        <b val="true"/>
        <sz val="10"/>
        <color rgb="FF000000"/>
        <rFont val="Arial"/>
        <family val="0"/>
        <charset val="1"/>
      </rPr>
      <t xml:space="preserve">■ 12</t>
    </r>
    <r>
      <rPr>
        <b val="true"/>
        <sz val="10"/>
        <color rgb="FF000000"/>
        <rFont val="Noto Sans CJK SC"/>
        <family val="2"/>
      </rPr>
      <t xml:space="preserve">ヶ月時点</t>
    </r>
  </si>
  <si>
    <t xml:space="preserve">指標</t>
  </si>
  <si>
    <t xml:space="preserve">累計ダウンロード数</t>
  </si>
  <si>
    <r>
      <rPr>
        <sz val="10"/>
        <color rgb="FF000000"/>
        <rFont val="Arial"/>
        <family val="0"/>
        <charset val="1"/>
      </rPr>
      <t xml:space="preserve">MAU</t>
    </r>
    <r>
      <rPr>
        <sz val="10"/>
        <color rgb="FF000000"/>
        <rFont val="Noto Sans CJK SC"/>
        <family val="2"/>
      </rPr>
      <t xml:space="preserve">（月間利用者数）</t>
    </r>
  </si>
  <si>
    <t xml:space="preserve">無料利用者数</t>
  </si>
  <si>
    <t xml:space="preserve">有料利用者数（個人）</t>
  </si>
  <si>
    <t xml:space="preserve">当月転換率（無料→有料）</t>
  </si>
  <si>
    <t xml:space="preserve">個人課金売上（月額）</t>
  </si>
  <si>
    <t xml:space="preserve">法人契約数（累計）</t>
  </si>
  <si>
    <t xml:space="preserve">法人売上（月額）</t>
  </si>
  <si>
    <t xml:space="preserve">月間売上合計</t>
  </si>
  <si>
    <t xml:space="preserve">月間費用合計</t>
  </si>
  <si>
    <t xml:space="preserve">月次損益</t>
  </si>
  <si>
    <t xml:space="preserve">累計損益</t>
  </si>
  <si>
    <r>
      <rPr>
        <b val="true"/>
        <sz val="10"/>
        <color rgb="FF000000"/>
        <rFont val="Noto Sans CJK SC"/>
        <family val="2"/>
      </rPr>
      <t xml:space="preserve">年間売上（</t>
    </r>
    <r>
      <rPr>
        <b val="true"/>
        <sz val="10"/>
        <color rgb="FF000000"/>
        <rFont val="Arial"/>
        <family val="0"/>
        <charset val="1"/>
      </rPr>
      <t xml:space="preserve">1</t>
    </r>
    <r>
      <rPr>
        <b val="true"/>
        <sz val="10"/>
        <color rgb="FF000000"/>
        <rFont val="Noto Sans CJK SC"/>
        <family val="2"/>
      </rPr>
      <t xml:space="preserve">〜</t>
    </r>
    <r>
      <rPr>
        <b val="true"/>
        <sz val="10"/>
        <color rgb="FF000000"/>
        <rFont val="Arial"/>
        <family val="0"/>
        <charset val="1"/>
      </rPr>
      <t xml:space="preserve">12</t>
    </r>
    <r>
      <rPr>
        <b val="true"/>
        <sz val="10"/>
        <color rgb="FF000000"/>
        <rFont val="Noto Sans CJK SC"/>
        <family val="2"/>
      </rPr>
      <t xml:space="preserve">ヶ月目の合計）</t>
    </r>
  </si>
  <si>
    <r>
      <rPr>
        <b val="true"/>
        <sz val="10"/>
        <color rgb="FF000000"/>
        <rFont val="Arial"/>
        <family val="0"/>
        <charset val="1"/>
      </rPr>
      <t xml:space="preserve">■ 24</t>
    </r>
    <r>
      <rPr>
        <b val="true"/>
        <sz val="10"/>
        <color rgb="FF000000"/>
        <rFont val="Noto Sans CJK SC"/>
        <family val="2"/>
      </rPr>
      <t xml:space="preserve">ヶ月時点</t>
    </r>
  </si>
  <si>
    <r>
      <rPr>
        <b val="true"/>
        <sz val="10"/>
        <color rgb="FF000000"/>
        <rFont val="Noto Sans CJK SC"/>
        <family val="2"/>
      </rPr>
      <t xml:space="preserve">年間売上（</t>
    </r>
    <r>
      <rPr>
        <b val="true"/>
        <sz val="10"/>
        <color rgb="FF000000"/>
        <rFont val="Arial"/>
        <family val="0"/>
        <charset val="1"/>
      </rPr>
      <t xml:space="preserve">13</t>
    </r>
    <r>
      <rPr>
        <b val="true"/>
        <sz val="10"/>
        <color rgb="FF000000"/>
        <rFont val="Noto Sans CJK SC"/>
        <family val="2"/>
      </rPr>
      <t xml:space="preserve">〜</t>
    </r>
    <r>
      <rPr>
        <b val="true"/>
        <sz val="10"/>
        <color rgb="FF000000"/>
        <rFont val="Arial"/>
        <family val="0"/>
        <charset val="1"/>
      </rPr>
      <t xml:space="preserve">24</t>
    </r>
    <r>
      <rPr>
        <b val="true"/>
        <sz val="10"/>
        <color rgb="FF000000"/>
        <rFont val="Noto Sans CJK SC"/>
        <family val="2"/>
      </rPr>
      <t xml:space="preserve">ヶ月目の合計）</t>
    </r>
  </si>
  <si>
    <r>
      <rPr>
        <b val="true"/>
        <sz val="10"/>
        <color rgb="FF000000"/>
        <rFont val="Arial"/>
        <family val="0"/>
        <charset val="1"/>
      </rPr>
      <t xml:space="preserve">■ 36</t>
    </r>
    <r>
      <rPr>
        <b val="true"/>
        <sz val="10"/>
        <color rgb="FF000000"/>
        <rFont val="Noto Sans CJK SC"/>
        <family val="2"/>
      </rPr>
      <t xml:space="preserve">ヶ月時点</t>
    </r>
  </si>
  <si>
    <r>
      <rPr>
        <b val="true"/>
        <sz val="10"/>
        <color rgb="FF000000"/>
        <rFont val="Noto Sans CJK SC"/>
        <family val="2"/>
      </rPr>
      <t xml:space="preserve">年間売上（</t>
    </r>
    <r>
      <rPr>
        <b val="true"/>
        <sz val="10"/>
        <color rgb="FF000000"/>
        <rFont val="Arial"/>
        <family val="0"/>
        <charset val="1"/>
      </rPr>
      <t xml:space="preserve">25</t>
    </r>
    <r>
      <rPr>
        <b val="true"/>
        <sz val="10"/>
        <color rgb="FF000000"/>
        <rFont val="Noto Sans CJK SC"/>
        <family val="2"/>
      </rPr>
      <t xml:space="preserve">〜</t>
    </r>
    <r>
      <rPr>
        <b val="true"/>
        <sz val="10"/>
        <color rgb="FF000000"/>
        <rFont val="Arial"/>
        <family val="0"/>
        <charset val="1"/>
      </rPr>
      <t xml:space="preserve">36</t>
    </r>
    <r>
      <rPr>
        <b val="true"/>
        <sz val="10"/>
        <color rgb="FF000000"/>
        <rFont val="Noto Sans CJK SC"/>
        <family val="2"/>
      </rPr>
      <t xml:space="preserve">ヶ月目の合計）</t>
    </r>
  </si>
  <si>
    <t xml:space="preserve">■ 損益分岐点（累計損益が初めて黒字化する月）</t>
  </si>
  <si>
    <t xml:space="preserve">損益分岐月（月目）</t>
  </si>
  <si>
    <t xml:space="preserve">その月の月間売上（参考）</t>
  </si>
  <si>
    <t xml:space="preserve">※ 法人契約数・法人売上は解約率を考慮した連続値のため、実際の契約社数（整数）とは端数が生じます。</t>
  </si>
  <si>
    <r>
      <rPr>
        <b val="true"/>
        <sz val="14"/>
        <color rgb="FF000000"/>
        <rFont val="Arial"/>
        <family val="0"/>
        <charset val="1"/>
      </rPr>
      <t xml:space="preserve">AI</t>
    </r>
    <r>
      <rPr>
        <b val="true"/>
        <sz val="14"/>
        <color rgb="FF000000"/>
        <rFont val="Noto Sans CJK SC"/>
        <family val="2"/>
      </rPr>
      <t xml:space="preserve">機能の使い方による費用インパクト比較（標準ケース・</t>
    </r>
    <r>
      <rPr>
        <b val="true"/>
        <sz val="14"/>
        <color rgb="FF000000"/>
        <rFont val="Arial"/>
        <family val="0"/>
        <charset val="1"/>
      </rPr>
      <t xml:space="preserve">36</t>
    </r>
    <r>
      <rPr>
        <b val="true"/>
        <sz val="14"/>
        <color rgb="FF000000"/>
        <rFont val="Noto Sans CJK SC"/>
        <family val="2"/>
      </rPr>
      <t xml:space="preserve">ヶ月目時点を例に）</t>
    </r>
  </si>
  <si>
    <r>
      <rPr>
        <i val="true"/>
        <sz val="9"/>
        <color rgb="FF808080"/>
        <rFont val="Noto Sans CJK SC"/>
        <family val="2"/>
      </rPr>
      <t xml:space="preserve">初期版で想定する「限定</t>
    </r>
    <r>
      <rPr>
        <i val="true"/>
        <sz val="9"/>
        <color rgb="FF808080"/>
        <rFont val="Arial"/>
        <family val="0"/>
        <charset val="1"/>
      </rPr>
      <t xml:space="preserve">AI</t>
    </r>
    <r>
      <rPr>
        <i val="true"/>
        <sz val="9"/>
        <color rgb="FF808080"/>
        <rFont val="Noto Sans CJK SC"/>
        <family val="2"/>
      </rPr>
      <t xml:space="preserve">版」（用語検索など軽量利用）と、「拡張</t>
    </r>
    <r>
      <rPr>
        <i val="true"/>
        <sz val="9"/>
        <color rgb="FF808080"/>
        <rFont val="Arial"/>
        <family val="0"/>
        <charset val="1"/>
      </rPr>
      <t xml:space="preserve">AI</t>
    </r>
    <r>
      <rPr>
        <i val="true"/>
        <sz val="9"/>
        <color rgb="FF808080"/>
        <rFont val="Noto Sans CJK SC"/>
        <family val="2"/>
      </rPr>
      <t xml:space="preserve">版」（</t>
    </r>
    <r>
      <rPr>
        <i val="true"/>
        <sz val="9"/>
        <color rgb="FF808080"/>
        <rFont val="Arial"/>
        <family val="0"/>
        <charset val="1"/>
      </rPr>
      <t xml:space="preserve">AI</t>
    </r>
    <r>
      <rPr>
        <i val="true"/>
        <sz val="9"/>
        <color rgb="FF808080"/>
        <rFont val="Noto Sans CJK SC"/>
        <family val="2"/>
      </rPr>
      <t xml:space="preserve">チャット相談・画像解析等を多用）を比較。</t>
    </r>
  </si>
  <si>
    <r>
      <rPr>
        <b val="true"/>
        <sz val="11"/>
        <color rgb="FFFFFFFF"/>
        <rFont val="Noto Sans CJK SC"/>
        <family val="2"/>
      </rPr>
      <t xml:space="preserve">限定</t>
    </r>
    <r>
      <rPr>
        <b val="true"/>
        <sz val="11"/>
        <color rgb="FFFFFFFF"/>
        <rFont val="Arial"/>
        <family val="0"/>
        <charset val="1"/>
      </rPr>
      <t xml:space="preserve">AI</t>
    </r>
    <r>
      <rPr>
        <b val="true"/>
        <sz val="11"/>
        <color rgb="FFFFFFFF"/>
        <rFont val="Noto Sans CJK SC"/>
        <family val="2"/>
      </rPr>
      <t xml:space="preserve">版（本編モデルの基準）</t>
    </r>
  </si>
  <si>
    <r>
      <rPr>
        <b val="true"/>
        <sz val="11"/>
        <color rgb="FFFFFFFF"/>
        <rFont val="Noto Sans CJK SC"/>
        <family val="2"/>
      </rPr>
      <t xml:space="preserve">拡張</t>
    </r>
    <r>
      <rPr>
        <b val="true"/>
        <sz val="11"/>
        <color rgb="FFFFFFFF"/>
        <rFont val="Arial"/>
        <family val="0"/>
        <charset val="1"/>
      </rPr>
      <t xml:space="preserve">AI</t>
    </r>
    <r>
      <rPr>
        <b val="true"/>
        <sz val="11"/>
        <color rgb="FFFFFFFF"/>
        <rFont val="Noto Sans CJK SC"/>
        <family val="2"/>
      </rPr>
      <t xml:space="preserve">版（参考シナリオ）</t>
    </r>
  </si>
  <si>
    <r>
      <rPr>
        <sz val="10"/>
        <color rgb="FF000000"/>
        <rFont val="Noto Sans CJK SC"/>
        <family val="2"/>
      </rPr>
      <t xml:space="preserve">標準ケース</t>
    </r>
    <r>
      <rPr>
        <sz val="10"/>
        <color rgb="FF000000"/>
        <rFont val="Arial"/>
        <family val="0"/>
        <charset val="1"/>
      </rPr>
      <t xml:space="preserve">36</t>
    </r>
    <r>
      <rPr>
        <sz val="10"/>
        <color rgb="FF000000"/>
        <rFont val="Noto Sans CJK SC"/>
        <family val="2"/>
      </rPr>
      <t xml:space="preserve">ヶ月目の有料会員数（個人）</t>
    </r>
  </si>
  <si>
    <r>
      <rPr>
        <sz val="10"/>
        <color rgb="FF000000"/>
        <rFont val="Arial"/>
        <family val="0"/>
        <charset val="1"/>
      </rPr>
      <t xml:space="preserve">AI API</t>
    </r>
    <r>
      <rPr>
        <sz val="10"/>
        <color rgb="FF000000"/>
        <rFont val="Noto Sans CJK SC"/>
        <family val="2"/>
      </rPr>
      <t xml:space="preserve">単価（円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有料会員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月）</t>
    </r>
  </si>
  <si>
    <r>
      <rPr>
        <b val="true"/>
        <sz val="10"/>
        <color rgb="FF000000"/>
        <rFont val="Noto Sans CJK SC"/>
        <family val="2"/>
      </rPr>
      <t xml:space="preserve">月間</t>
    </r>
    <r>
      <rPr>
        <b val="true"/>
        <sz val="10"/>
        <color rgb="FF000000"/>
        <rFont val="Arial"/>
        <family val="0"/>
        <charset val="1"/>
      </rPr>
      <t xml:space="preserve">AI API</t>
    </r>
    <r>
      <rPr>
        <b val="true"/>
        <sz val="10"/>
        <color rgb="FF000000"/>
        <rFont val="Noto Sans CJK SC"/>
        <family val="2"/>
      </rPr>
      <t xml:space="preserve">費（標準ケース想定会員数）</t>
    </r>
  </si>
  <si>
    <r>
      <rPr>
        <b val="true"/>
        <sz val="10"/>
        <color rgb="FF000000"/>
        <rFont val="Noto Sans CJK SC"/>
        <family val="2"/>
      </rPr>
      <t xml:space="preserve">年間</t>
    </r>
    <r>
      <rPr>
        <b val="true"/>
        <sz val="10"/>
        <color rgb="FF000000"/>
        <rFont val="Arial"/>
        <family val="0"/>
        <charset val="1"/>
      </rPr>
      <t xml:space="preserve">AI API</t>
    </r>
    <r>
      <rPr>
        <b val="true"/>
        <sz val="10"/>
        <color rgb="FF000000"/>
        <rFont val="Noto Sans CJK SC"/>
        <family val="2"/>
      </rPr>
      <t xml:space="preserve">費（</t>
    </r>
    <r>
      <rPr>
        <b val="true"/>
        <sz val="10"/>
        <color rgb="FF000000"/>
        <rFont val="Arial"/>
        <family val="0"/>
        <charset val="1"/>
      </rPr>
      <t xml:space="preserve">× 12</t>
    </r>
    <r>
      <rPr>
        <b val="true"/>
        <sz val="10"/>
        <color rgb="FF000000"/>
        <rFont val="Noto Sans CJK SC"/>
        <family val="2"/>
      </rPr>
      <t xml:space="preserve">ヶ月）</t>
    </r>
  </si>
  <si>
    <r>
      <rPr>
        <sz val="10"/>
        <color rgb="FF000000"/>
        <rFont val="Noto Sans CJK SC"/>
        <family val="2"/>
      </rPr>
      <t xml:space="preserve">標準ケース</t>
    </r>
    <r>
      <rPr>
        <sz val="10"/>
        <color rgb="FF000000"/>
        <rFont val="Arial"/>
        <family val="0"/>
        <charset val="1"/>
      </rPr>
      <t xml:space="preserve">36</t>
    </r>
    <r>
      <rPr>
        <sz val="10"/>
        <color rgb="FF000000"/>
        <rFont val="Noto Sans CJK SC"/>
        <family val="2"/>
      </rPr>
      <t xml:space="preserve">ヶ月目 月次損益（限定</t>
    </r>
    <r>
      <rPr>
        <sz val="10"/>
        <color rgb="FF000000"/>
        <rFont val="Arial"/>
        <family val="0"/>
        <charset val="1"/>
      </rPr>
      <t xml:space="preserve">AI</t>
    </r>
    <r>
      <rPr>
        <sz val="10"/>
        <color rgb="FF000000"/>
        <rFont val="Noto Sans CJK SC"/>
        <family val="2"/>
      </rPr>
      <t xml:space="preserve">版・本編モデルどおり）</t>
    </r>
  </si>
  <si>
    <r>
      <rPr>
        <b val="true"/>
        <sz val="10"/>
        <color rgb="FF000000"/>
        <rFont val="Noto Sans CJK SC"/>
        <family val="2"/>
      </rPr>
      <t xml:space="preserve">拡張</t>
    </r>
    <r>
      <rPr>
        <b val="true"/>
        <sz val="10"/>
        <color rgb="FF000000"/>
        <rFont val="Arial"/>
        <family val="0"/>
        <charset val="1"/>
      </rPr>
      <t xml:space="preserve">AI</t>
    </r>
    <r>
      <rPr>
        <b val="true"/>
        <sz val="10"/>
        <color rgb="FF000000"/>
        <rFont val="Noto Sans CJK SC"/>
        <family val="2"/>
      </rPr>
      <t xml:space="preserve">版に切替えた場合の月次損益（概算）</t>
    </r>
  </si>
  <si>
    <r>
      <rPr>
        <i val="true"/>
        <sz val="9"/>
        <color rgb="FF808080"/>
        <rFont val="Noto Sans CJK SC"/>
        <family val="2"/>
      </rPr>
      <t xml:space="preserve">※ 拡張</t>
    </r>
    <r>
      <rPr>
        <i val="true"/>
        <sz val="9"/>
        <color rgb="FF808080"/>
        <rFont val="Arial"/>
        <family val="0"/>
        <charset val="1"/>
      </rPr>
      <t xml:space="preserve">AI</t>
    </r>
    <r>
      <rPr>
        <i val="true"/>
        <sz val="9"/>
        <color rgb="FF808080"/>
        <rFont val="Noto Sans CJK SC"/>
        <family val="2"/>
      </rPr>
      <t xml:space="preserve">版は「限定</t>
    </r>
    <r>
      <rPr>
        <i val="true"/>
        <sz val="9"/>
        <color rgb="FF808080"/>
        <rFont val="Arial"/>
        <family val="0"/>
        <charset val="1"/>
      </rPr>
      <t xml:space="preserve">AI</t>
    </r>
    <r>
      <rPr>
        <i val="true"/>
        <sz val="9"/>
        <color rgb="FF808080"/>
        <rFont val="Noto Sans CJK SC"/>
        <family val="2"/>
      </rPr>
      <t xml:space="preserve">版からの追加コストのみ」を月次損益から差し引いた概算です（売上への好影響は含みません）。</t>
    </r>
  </si>
  <si>
    <r>
      <rPr>
        <i val="true"/>
        <sz val="9"/>
        <color rgb="FF808080"/>
        <rFont val="Arial"/>
        <family val="0"/>
        <charset val="1"/>
      </rPr>
      <t xml:space="preserve">※ AI</t>
    </r>
    <r>
      <rPr>
        <i val="true"/>
        <sz val="9"/>
        <color rgb="FF808080"/>
        <rFont val="Noto Sans CJK SC"/>
        <family val="2"/>
      </rPr>
      <t xml:space="preserve">チャット相談などで有料転換率や</t>
    </r>
    <r>
      <rPr>
        <i val="true"/>
        <sz val="9"/>
        <color rgb="FF808080"/>
        <rFont val="Arial"/>
        <family val="0"/>
        <charset val="1"/>
      </rPr>
      <t xml:space="preserve">ARPU</t>
    </r>
    <r>
      <rPr>
        <i val="true"/>
        <sz val="9"/>
        <color rgb="FF808080"/>
        <rFont val="Noto Sans CJK SC"/>
        <family val="2"/>
      </rPr>
      <t xml:space="preserve">が向上する可能性はありますが、本シートでは費用インパクトのみを保守的に比較しています。</t>
    </r>
  </si>
  <si>
    <r>
      <rPr>
        <i val="true"/>
        <sz val="9"/>
        <color rgb="FF808080"/>
        <rFont val="Noto Sans CJK SC"/>
        <family val="2"/>
      </rPr>
      <t xml:space="preserve">※ 単価は要確認（実際の</t>
    </r>
    <r>
      <rPr>
        <i val="true"/>
        <sz val="9"/>
        <color rgb="FF808080"/>
        <rFont val="Arial"/>
        <family val="0"/>
        <charset val="1"/>
      </rPr>
      <t xml:space="preserve">API</t>
    </r>
    <r>
      <rPr>
        <i val="true"/>
        <sz val="9"/>
        <color rgb="FF808080"/>
        <rFont val="Noto Sans CJK SC"/>
        <family val="2"/>
      </rPr>
      <t xml:space="preserve">プロバイダー・利用量により変動）。</t>
    </r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</si>
</sst>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"/>
    <numFmt numFmtId="166" formatCode="0.0%"/>
    <numFmt numFmtId="167" formatCode="#,##0.0"/>
    <numFmt numFmtId="168" formatCode="0"/>
    <numFmt numFmtId="169" formatCode="#,##0\円"/>
    <numFmt numFmtId="170" formatCode="General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Noto Sans CJK SC"/>
      <family val="2"/>
    </font>
    <font>
      <b val="true"/>
      <sz val="14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000000"/>
      <name val="Noto Sans CJK SC"/>
      <family val="2"/>
    </font>
    <font>
      <sz val="10"/>
      <color rgb="FF000000"/>
      <name val="Noto Sans CJK SC"/>
      <family val="2"/>
    </font>
    <font>
      <i val="true"/>
      <sz val="9"/>
      <color rgb="FF808080"/>
      <name val="Noto Sans CJK SC"/>
      <family val="2"/>
    </font>
    <font>
      <b val="true"/>
      <sz val="11"/>
      <color rgb="FFFFFFFF"/>
      <name val="Noto Sans CJK SC"/>
      <family val="2"/>
    </font>
    <font>
      <sz val="10"/>
      <color rgb="FF0000FF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color rgb="FF0080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5F"/>
        <bgColor rgb="FF333333"/>
      </patternFill>
    </fill>
    <fill>
      <patternFill patternType="solid">
        <fgColor rgb="FFD9E1E8"/>
        <bgColor rgb="FFCCFFFF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4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7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C0504D"/>
      <rgbColor rgb="FFFFF2CC"/>
      <rgbColor rgb="FFCCFFFF"/>
      <rgbColor rgb="FF660066"/>
      <rgbColor rgb="FFFF8080"/>
      <rgbColor rgb="FF0066CC"/>
      <rgbColor rgb="FFD9E1E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70AD47"/>
      <rgbColor rgb="FF1F4E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</cols>
  <sheetData>
    <row r="1" customFormat="false" ht="21.6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3" t="s">
        <v>1</v>
      </c>
    </row>
    <row r="4" customFormat="false" ht="15" hidden="false" customHeight="false" outlineLevel="0" collapsed="false">
      <c r="A4" s="4" t="s">
        <v>2</v>
      </c>
    </row>
    <row r="5" customFormat="false" ht="15" hidden="false" customHeight="false" outlineLevel="0" collapsed="false">
      <c r="A5" s="4" t="s">
        <v>3</v>
      </c>
    </row>
    <row r="6" customFormat="false" ht="15" hidden="false" customHeight="false" outlineLevel="0" collapsed="false">
      <c r="A6" s="4" t="s">
        <v>4</v>
      </c>
    </row>
    <row r="7" customFormat="false" ht="15" hidden="false" customHeight="false" outlineLevel="0" collapsed="false">
      <c r="A7" s="4" t="s">
        <v>5</v>
      </c>
    </row>
    <row r="8" customFormat="false" ht="15" hidden="false" customHeight="false" outlineLevel="0" collapsed="false">
      <c r="A8" s="4" t="s">
        <v>6</v>
      </c>
    </row>
    <row r="9" customFormat="false" ht="15" hidden="false" customHeight="false" outlineLevel="0" collapsed="false">
      <c r="A9" s="2"/>
    </row>
    <row r="10" customFormat="false" ht="15" hidden="false" customHeight="false" outlineLevel="0" collapsed="false">
      <c r="A10" s="3" t="s">
        <v>7</v>
      </c>
    </row>
    <row r="11" customFormat="false" ht="15" hidden="false" customHeight="false" outlineLevel="0" collapsed="false">
      <c r="A11" s="4" t="s">
        <v>8</v>
      </c>
    </row>
    <row r="12" customFormat="false" ht="15" hidden="false" customHeight="false" outlineLevel="0" collapsed="false">
      <c r="A12" s="4" t="s">
        <v>9</v>
      </c>
    </row>
    <row r="13" customFormat="false" ht="15" hidden="false" customHeight="false" outlineLevel="0" collapsed="false">
      <c r="A13" s="4" t="s">
        <v>10</v>
      </c>
    </row>
    <row r="14" customFormat="false" ht="15" hidden="false" customHeight="false" outlineLevel="0" collapsed="false">
      <c r="A14" s="4" t="s">
        <v>11</v>
      </c>
    </row>
    <row r="15" customFormat="false" ht="15" hidden="false" customHeight="false" outlineLevel="0" collapsed="false">
      <c r="A15" s="2"/>
    </row>
    <row r="16" customFormat="false" ht="15" hidden="false" customHeight="false" outlineLevel="0" collapsed="false">
      <c r="A16" s="3" t="s">
        <v>12</v>
      </c>
    </row>
    <row r="17" customFormat="false" ht="15" hidden="false" customHeight="false" outlineLevel="0" collapsed="false">
      <c r="A17" s="4" t="s">
        <v>13</v>
      </c>
    </row>
    <row r="18" customFormat="false" ht="15" hidden="false" customHeight="false" outlineLevel="0" collapsed="false">
      <c r="A18" s="4" t="s">
        <v>14</v>
      </c>
    </row>
    <row r="19" customFormat="false" ht="15" hidden="false" customHeight="false" outlineLevel="0" collapsed="false">
      <c r="A19" s="2" t="s">
        <v>15</v>
      </c>
    </row>
    <row r="20" customFormat="false" ht="15" hidden="false" customHeight="false" outlineLevel="0" collapsed="false">
      <c r="A20" s="2"/>
    </row>
    <row r="21" customFormat="false" ht="15" hidden="false" customHeight="false" outlineLevel="0" collapsed="false">
      <c r="A21" s="3" t="s">
        <v>16</v>
      </c>
    </row>
    <row r="22" customFormat="false" ht="15" hidden="false" customHeight="false" outlineLevel="0" collapsed="false">
      <c r="A22" s="4" t="s">
        <v>17</v>
      </c>
    </row>
    <row r="23" customFormat="false" ht="15" hidden="false" customHeight="false" outlineLevel="0" collapsed="false">
      <c r="A23" s="4" t="s">
        <v>18</v>
      </c>
    </row>
    <row r="24" customFormat="false" ht="15" hidden="false" customHeight="false" outlineLevel="0" collapsed="false">
      <c r="A24" s="4" t="s">
        <v>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4"/>
    <col collapsed="false" customWidth="true" hidden="false" outlineLevel="0" max="5" min="3" style="0" width="13"/>
    <col collapsed="false" customWidth="true" hidden="false" outlineLevel="0" max="6" min="6" style="0" width="48"/>
  </cols>
  <sheetData>
    <row r="1" customFormat="false" ht="21.6" hidden="false" customHeight="false" outlineLevel="0" collapsed="false">
      <c r="A1" s="1" t="s">
        <v>20</v>
      </c>
    </row>
    <row r="2" customFormat="false" ht="15" hidden="false" customHeight="false" outlineLevel="0" collapsed="false">
      <c r="A2" s="5" t="s">
        <v>21</v>
      </c>
    </row>
    <row r="4" customFormat="false" ht="17.15" hidden="false" customHeight="false" outlineLevel="0" collapsed="false">
      <c r="A4" s="6" t="s">
        <v>22</v>
      </c>
      <c r="B4" s="6" t="s">
        <v>23</v>
      </c>
      <c r="C4" s="6" t="s">
        <v>24</v>
      </c>
      <c r="D4" s="6" t="s">
        <v>25</v>
      </c>
      <c r="E4" s="6" t="s">
        <v>26</v>
      </c>
      <c r="F4" s="6" t="s">
        <v>27</v>
      </c>
    </row>
    <row r="5" customFormat="false" ht="15" hidden="false" customHeight="false" outlineLevel="0" collapsed="false">
      <c r="A5" s="7" t="s">
        <v>28</v>
      </c>
      <c r="B5" s="8"/>
      <c r="C5" s="8"/>
      <c r="D5" s="8"/>
      <c r="E5" s="8"/>
      <c r="F5" s="8"/>
    </row>
    <row r="6" customFormat="false" ht="26.85" hidden="false" customHeight="false" outlineLevel="0" collapsed="false">
      <c r="A6" s="9" t="s">
        <v>29</v>
      </c>
      <c r="B6" s="5" t="s">
        <v>30</v>
      </c>
      <c r="C6" s="10" t="n">
        <v>150</v>
      </c>
      <c r="D6" s="10" t="n">
        <v>300</v>
      </c>
      <c r="E6" s="10" t="n">
        <v>500</v>
      </c>
      <c r="F6" s="11" t="s">
        <v>31</v>
      </c>
    </row>
    <row r="7" customFormat="false" ht="26.85" hidden="false" customHeight="false" outlineLevel="0" collapsed="false">
      <c r="A7" s="12" t="s">
        <v>32</v>
      </c>
      <c r="B7" s="13" t="s">
        <v>33</v>
      </c>
      <c r="C7" s="14" t="n">
        <v>0.04</v>
      </c>
      <c r="D7" s="14" t="n">
        <v>0.07</v>
      </c>
      <c r="E7" s="14" t="n">
        <v>0.1</v>
      </c>
      <c r="F7" s="11" t="s">
        <v>34</v>
      </c>
    </row>
    <row r="8" customFormat="false" ht="15" hidden="false" customHeight="false" outlineLevel="0" collapsed="false">
      <c r="A8" s="12" t="s">
        <v>35</v>
      </c>
      <c r="B8" s="13" t="s">
        <v>33</v>
      </c>
      <c r="C8" s="15" t="n">
        <v>0.02</v>
      </c>
      <c r="D8" s="15" t="n">
        <v>0.04</v>
      </c>
      <c r="E8" s="15" t="n">
        <v>0.05</v>
      </c>
      <c r="F8" s="11" t="s">
        <v>36</v>
      </c>
    </row>
    <row r="9" customFormat="false" ht="15" hidden="false" customHeight="false" outlineLevel="0" collapsed="false">
      <c r="A9" s="12" t="s">
        <v>37</v>
      </c>
      <c r="B9" s="13" t="s">
        <v>33</v>
      </c>
      <c r="C9" s="15" t="n">
        <v>0.01</v>
      </c>
      <c r="D9" s="15" t="n">
        <v>0.02</v>
      </c>
      <c r="E9" s="15" t="n">
        <v>0.025</v>
      </c>
      <c r="F9" s="11" t="s">
        <v>38</v>
      </c>
    </row>
    <row r="10" customFormat="false" ht="26.85" hidden="false" customHeight="false" outlineLevel="0" collapsed="false">
      <c r="A10" s="12" t="s">
        <v>39</v>
      </c>
      <c r="B10" s="13" t="s">
        <v>33</v>
      </c>
      <c r="C10" s="15" t="n">
        <v>0.25</v>
      </c>
      <c r="D10" s="15" t="n">
        <v>0.3</v>
      </c>
      <c r="E10" s="15" t="n">
        <v>0.35</v>
      </c>
      <c r="F10" s="11" t="s">
        <v>40</v>
      </c>
    </row>
    <row r="11" customFormat="false" ht="26.85" hidden="false" customHeight="false" outlineLevel="0" collapsed="false">
      <c r="A11" s="12" t="s">
        <v>41</v>
      </c>
      <c r="B11" s="13" t="s">
        <v>33</v>
      </c>
      <c r="C11" s="14" t="n">
        <v>0.4</v>
      </c>
      <c r="D11" s="14" t="n">
        <v>0.45</v>
      </c>
      <c r="E11" s="14" t="n">
        <v>0.55</v>
      </c>
      <c r="F11" s="11" t="s">
        <v>42</v>
      </c>
    </row>
    <row r="12" customFormat="false" ht="26.85" hidden="false" customHeight="false" outlineLevel="0" collapsed="false">
      <c r="A12" s="12" t="s">
        <v>43</v>
      </c>
      <c r="B12" s="13" t="s">
        <v>33</v>
      </c>
      <c r="C12" s="14" t="n">
        <v>0.08</v>
      </c>
      <c r="D12" s="14" t="n">
        <v>0.07</v>
      </c>
      <c r="E12" s="14" t="n">
        <v>0.06</v>
      </c>
      <c r="F12" s="11" t="s">
        <v>44</v>
      </c>
    </row>
    <row r="13" customFormat="false" ht="26.85" hidden="false" customHeight="false" outlineLevel="0" collapsed="false">
      <c r="A13" s="12" t="s">
        <v>45</v>
      </c>
      <c r="B13" s="13" t="s">
        <v>33</v>
      </c>
      <c r="C13" s="14" t="n">
        <v>0.03</v>
      </c>
      <c r="D13" s="14" t="n">
        <v>0.05</v>
      </c>
      <c r="E13" s="14" t="n">
        <v>0.08</v>
      </c>
      <c r="F13" s="11" t="s">
        <v>46</v>
      </c>
    </row>
    <row r="14" customFormat="false" ht="26.85" hidden="false" customHeight="false" outlineLevel="0" collapsed="false">
      <c r="A14" s="12" t="s">
        <v>47</v>
      </c>
      <c r="B14" s="5" t="s">
        <v>48</v>
      </c>
      <c r="C14" s="16" t="n">
        <v>6</v>
      </c>
      <c r="D14" s="16" t="n">
        <v>5</v>
      </c>
      <c r="E14" s="16" t="n">
        <v>4</v>
      </c>
      <c r="F14" s="11" t="s">
        <v>49</v>
      </c>
    </row>
    <row r="15" customFormat="false" ht="15" hidden="false" customHeight="false" outlineLevel="0" collapsed="false">
      <c r="A15" s="12" t="s">
        <v>50</v>
      </c>
      <c r="B15" s="13" t="s">
        <v>33</v>
      </c>
      <c r="C15" s="15" t="n">
        <v>0.05</v>
      </c>
      <c r="D15" s="15" t="n">
        <v>0.04</v>
      </c>
      <c r="E15" s="15" t="n">
        <v>0.03</v>
      </c>
      <c r="F15" s="11" t="s">
        <v>51</v>
      </c>
    </row>
    <row r="16" customFormat="false" ht="26.85" hidden="false" customHeight="false" outlineLevel="0" collapsed="false">
      <c r="A16" s="12" t="s">
        <v>52</v>
      </c>
      <c r="B16" s="5" t="s">
        <v>53</v>
      </c>
      <c r="C16" s="10" t="n">
        <v>550</v>
      </c>
      <c r="D16" s="10" t="n">
        <v>620</v>
      </c>
      <c r="E16" s="10" t="n">
        <v>700</v>
      </c>
      <c r="F16" s="11" t="s">
        <v>54</v>
      </c>
    </row>
    <row r="17" customFormat="false" ht="15" hidden="false" customHeight="false" outlineLevel="0" collapsed="false">
      <c r="A17" s="7" t="s">
        <v>55</v>
      </c>
      <c r="B17" s="8"/>
      <c r="C17" s="8"/>
      <c r="D17" s="8"/>
      <c r="E17" s="8"/>
      <c r="F17" s="8"/>
    </row>
    <row r="18" customFormat="false" ht="15" hidden="false" customHeight="false" outlineLevel="0" collapsed="false">
      <c r="A18" s="12" t="s">
        <v>56</v>
      </c>
      <c r="B18" s="5" t="s">
        <v>57</v>
      </c>
      <c r="C18" s="16" t="n">
        <v>7</v>
      </c>
      <c r="D18" s="16" t="n">
        <v>5</v>
      </c>
      <c r="E18" s="16" t="n">
        <v>4</v>
      </c>
      <c r="F18" s="11" t="s">
        <v>58</v>
      </c>
    </row>
    <row r="19" customFormat="false" ht="15" hidden="false" customHeight="false" outlineLevel="0" collapsed="false">
      <c r="A19" s="12" t="s">
        <v>59</v>
      </c>
      <c r="B19" s="5" t="s">
        <v>60</v>
      </c>
      <c r="C19" s="17" t="n">
        <v>0.3</v>
      </c>
      <c r="D19" s="17" t="n">
        <v>1</v>
      </c>
      <c r="E19" s="17" t="n">
        <v>1.8</v>
      </c>
      <c r="F19" s="11" t="s">
        <v>61</v>
      </c>
    </row>
    <row r="20" customFormat="false" ht="15" hidden="false" customHeight="false" outlineLevel="0" collapsed="false">
      <c r="A20" s="12" t="s">
        <v>62</v>
      </c>
      <c r="B20" s="5" t="s">
        <v>60</v>
      </c>
      <c r="C20" s="18" t="n">
        <v>0.5</v>
      </c>
      <c r="D20" s="18" t="n">
        <v>1.6</v>
      </c>
      <c r="E20" s="18" t="n">
        <v>2.8</v>
      </c>
      <c r="F20" s="11" t="s">
        <v>63</v>
      </c>
    </row>
    <row r="21" customFormat="false" ht="15" hidden="false" customHeight="false" outlineLevel="0" collapsed="false">
      <c r="A21" s="12" t="s">
        <v>64</v>
      </c>
      <c r="B21" s="5" t="s">
        <v>60</v>
      </c>
      <c r="C21" s="18" t="n">
        <v>0.8</v>
      </c>
      <c r="D21" s="18" t="n">
        <v>2.2</v>
      </c>
      <c r="E21" s="18" t="n">
        <v>3.8</v>
      </c>
      <c r="F21" s="11" t="s">
        <v>65</v>
      </c>
    </row>
    <row r="22" customFormat="false" ht="26.85" hidden="false" customHeight="false" outlineLevel="0" collapsed="false">
      <c r="A22" s="12" t="s">
        <v>66</v>
      </c>
      <c r="B22" s="13" t="s">
        <v>33</v>
      </c>
      <c r="C22" s="15" t="n">
        <v>0.04</v>
      </c>
      <c r="D22" s="15" t="n">
        <v>0.025</v>
      </c>
      <c r="E22" s="15" t="n">
        <v>0.02</v>
      </c>
      <c r="F22" s="11" t="s">
        <v>67</v>
      </c>
    </row>
    <row r="23" customFormat="false" ht="15" hidden="false" customHeight="false" outlineLevel="0" collapsed="false">
      <c r="A23" s="12" t="s">
        <v>68</v>
      </c>
      <c r="B23" s="5" t="s">
        <v>53</v>
      </c>
      <c r="C23" s="10" t="n">
        <v>2000</v>
      </c>
      <c r="D23" s="10" t="n">
        <v>2600</v>
      </c>
      <c r="E23" s="10" t="n">
        <v>3200</v>
      </c>
      <c r="F23" s="11" t="s">
        <v>69</v>
      </c>
    </row>
    <row r="24" customFormat="false" ht="15" hidden="false" customHeight="false" outlineLevel="0" collapsed="false">
      <c r="A24" s="7" t="s">
        <v>70</v>
      </c>
      <c r="B24" s="8"/>
      <c r="C24" s="8"/>
      <c r="D24" s="8"/>
      <c r="E24" s="8"/>
      <c r="F24" s="8"/>
    </row>
    <row r="25" customFormat="false" ht="15" hidden="false" customHeight="false" outlineLevel="0" collapsed="false">
      <c r="A25" s="12" t="s">
        <v>71</v>
      </c>
      <c r="B25" s="5" t="s">
        <v>72</v>
      </c>
      <c r="C25" s="16" t="n">
        <v>15000</v>
      </c>
      <c r="D25" s="16" t="n">
        <v>15000</v>
      </c>
      <c r="E25" s="16" t="n">
        <v>18000</v>
      </c>
      <c r="F25" s="11" t="s">
        <v>73</v>
      </c>
    </row>
    <row r="26" customFormat="false" ht="26.85" hidden="false" customHeight="false" outlineLevel="0" collapsed="false">
      <c r="A26" s="12" t="s">
        <v>74</v>
      </c>
      <c r="B26" s="5" t="s">
        <v>72</v>
      </c>
      <c r="C26" s="16" t="n">
        <v>25000</v>
      </c>
      <c r="D26" s="16" t="n">
        <v>30000</v>
      </c>
      <c r="E26" s="16" t="n">
        <v>40000</v>
      </c>
      <c r="F26" s="11" t="s">
        <v>75</v>
      </c>
    </row>
    <row r="27" customFormat="false" ht="26.85" hidden="false" customHeight="false" outlineLevel="0" collapsed="false">
      <c r="A27" s="9" t="s">
        <v>76</v>
      </c>
      <c r="B27" s="5" t="s">
        <v>77</v>
      </c>
      <c r="C27" s="16" t="n">
        <v>3</v>
      </c>
      <c r="D27" s="16" t="n">
        <v>3</v>
      </c>
      <c r="E27" s="16" t="n">
        <v>3</v>
      </c>
      <c r="F27" s="11" t="s">
        <v>78</v>
      </c>
    </row>
    <row r="28" customFormat="false" ht="15" hidden="false" customHeight="false" outlineLevel="0" collapsed="false">
      <c r="A28" s="9" t="s">
        <v>79</v>
      </c>
      <c r="B28" s="5" t="s">
        <v>80</v>
      </c>
      <c r="C28" s="10" t="n">
        <v>8</v>
      </c>
      <c r="D28" s="10" t="n">
        <v>8</v>
      </c>
      <c r="E28" s="10" t="n">
        <v>8</v>
      </c>
      <c r="F28" s="11" t="s">
        <v>81</v>
      </c>
    </row>
    <row r="29" customFormat="false" ht="26.85" hidden="false" customHeight="false" outlineLevel="0" collapsed="false">
      <c r="A29" s="9" t="s">
        <v>82</v>
      </c>
      <c r="B29" s="5" t="s">
        <v>80</v>
      </c>
      <c r="C29" s="10" t="n">
        <v>25</v>
      </c>
      <c r="D29" s="10" t="n">
        <v>25</v>
      </c>
      <c r="E29" s="10" t="n">
        <v>25</v>
      </c>
      <c r="F29" s="11" t="s">
        <v>83</v>
      </c>
    </row>
    <row r="30" customFormat="false" ht="26.85" hidden="false" customHeight="false" outlineLevel="0" collapsed="false">
      <c r="A30" s="12" t="s">
        <v>84</v>
      </c>
      <c r="B30" s="13" t="s">
        <v>33</v>
      </c>
      <c r="C30" s="14" t="n">
        <v>0.08</v>
      </c>
      <c r="D30" s="14" t="n">
        <v>0.08</v>
      </c>
      <c r="E30" s="14" t="n">
        <v>0.08</v>
      </c>
      <c r="F30" s="11" t="s">
        <v>85</v>
      </c>
    </row>
    <row r="31" customFormat="false" ht="15" hidden="false" customHeight="false" outlineLevel="0" collapsed="false">
      <c r="A31" s="12" t="s">
        <v>86</v>
      </c>
      <c r="B31" s="5" t="s">
        <v>72</v>
      </c>
      <c r="C31" s="10" t="n">
        <v>30000</v>
      </c>
      <c r="D31" s="10" t="n">
        <v>80000</v>
      </c>
      <c r="E31" s="10" t="n">
        <v>150000</v>
      </c>
      <c r="F31" s="11" t="s">
        <v>87</v>
      </c>
    </row>
    <row r="32" customFormat="false" ht="15" hidden="false" customHeight="false" outlineLevel="0" collapsed="false">
      <c r="A32" s="12" t="s">
        <v>88</v>
      </c>
      <c r="B32" s="5" t="s">
        <v>72</v>
      </c>
      <c r="C32" s="16" t="n">
        <v>40000</v>
      </c>
      <c r="D32" s="16" t="n">
        <v>100000</v>
      </c>
      <c r="E32" s="16" t="n">
        <v>200000</v>
      </c>
      <c r="F32" s="11" t="s">
        <v>89</v>
      </c>
    </row>
    <row r="33" customFormat="false" ht="15" hidden="false" customHeight="false" outlineLevel="0" collapsed="false">
      <c r="A33" s="12" t="s">
        <v>90</v>
      </c>
      <c r="B33" s="5" t="s">
        <v>72</v>
      </c>
      <c r="C33" s="16" t="n">
        <v>50000</v>
      </c>
      <c r="D33" s="16" t="n">
        <v>120000</v>
      </c>
      <c r="E33" s="16" t="n">
        <v>250000</v>
      </c>
      <c r="F33" s="11" t="s">
        <v>91</v>
      </c>
    </row>
    <row r="34" customFormat="false" ht="26.85" hidden="false" customHeight="false" outlineLevel="0" collapsed="false">
      <c r="A34" s="12" t="s">
        <v>92</v>
      </c>
      <c r="B34" s="5" t="s">
        <v>30</v>
      </c>
      <c r="C34" s="16" t="n">
        <v>500</v>
      </c>
      <c r="D34" s="16" t="n">
        <v>500</v>
      </c>
      <c r="E34" s="16" t="n">
        <v>500</v>
      </c>
      <c r="F34" s="11" t="s">
        <v>93</v>
      </c>
    </row>
    <row r="35" customFormat="false" ht="15" hidden="false" customHeight="false" outlineLevel="0" collapsed="false">
      <c r="A35" s="12" t="s">
        <v>94</v>
      </c>
      <c r="B35" s="5" t="s">
        <v>72</v>
      </c>
      <c r="C35" s="16" t="n">
        <v>50000</v>
      </c>
      <c r="D35" s="16" t="n">
        <v>50000</v>
      </c>
      <c r="E35" s="16" t="n">
        <v>60000</v>
      </c>
      <c r="F35" s="11" t="s">
        <v>95</v>
      </c>
    </row>
    <row r="36" customFormat="false" ht="15" hidden="false" customHeight="false" outlineLevel="0" collapsed="false">
      <c r="A36" s="12" t="s">
        <v>96</v>
      </c>
      <c r="B36" s="5" t="s">
        <v>60</v>
      </c>
      <c r="C36" s="16" t="n">
        <v>10</v>
      </c>
      <c r="D36" s="16" t="n">
        <v>10</v>
      </c>
      <c r="E36" s="16" t="n">
        <v>10</v>
      </c>
      <c r="F36" s="11" t="s">
        <v>97</v>
      </c>
    </row>
    <row r="37" customFormat="false" ht="15" hidden="false" customHeight="false" outlineLevel="0" collapsed="false">
      <c r="A37" s="12" t="s">
        <v>98</v>
      </c>
      <c r="B37" s="5" t="s">
        <v>72</v>
      </c>
      <c r="C37" s="16" t="n">
        <v>80000</v>
      </c>
      <c r="D37" s="16" t="n">
        <v>80000</v>
      </c>
      <c r="E37" s="16" t="n">
        <v>100000</v>
      </c>
      <c r="F37" s="11" t="s">
        <v>99</v>
      </c>
    </row>
    <row r="38" customFormat="false" ht="15" hidden="false" customHeight="false" outlineLevel="0" collapsed="false">
      <c r="A38" s="12" t="s">
        <v>100</v>
      </c>
      <c r="B38" s="13" t="s">
        <v>33</v>
      </c>
      <c r="C38" s="15" t="n">
        <v>0.1</v>
      </c>
      <c r="D38" s="15" t="n">
        <v>0.1</v>
      </c>
      <c r="E38" s="15" t="n">
        <v>0.1</v>
      </c>
      <c r="F38" s="11" t="s">
        <v>101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504D"/>
    <pageSetUpPr fitToPage="false"/>
  </sheetPr>
  <dimension ref="A1:Y4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5" min="2" style="0" width="15"/>
  </cols>
  <sheetData>
    <row r="1" customFormat="false" ht="21.6" hidden="false" customHeight="false" outlineLevel="0" collapsed="false">
      <c r="A1" s="1" t="s">
        <v>102</v>
      </c>
    </row>
    <row r="2" customFormat="false" ht="15" hidden="false" customHeight="false" outlineLevel="0" collapsed="false">
      <c r="A2" s="5" t="s">
        <v>103</v>
      </c>
    </row>
    <row r="4" customFormat="false" ht="42" hidden="false" customHeight="true" outlineLevel="0" collapsed="false">
      <c r="A4" s="6" t="s">
        <v>104</v>
      </c>
      <c r="B4" s="6" t="s">
        <v>105</v>
      </c>
      <c r="C4" s="6" t="s">
        <v>106</v>
      </c>
      <c r="D4" s="6" t="s">
        <v>107</v>
      </c>
      <c r="E4" s="6" t="s">
        <v>108</v>
      </c>
      <c r="F4" s="6" t="s">
        <v>109</v>
      </c>
      <c r="G4" s="19" t="s">
        <v>110</v>
      </c>
      <c r="H4" s="6" t="s">
        <v>111</v>
      </c>
      <c r="I4" s="6" t="s">
        <v>112</v>
      </c>
      <c r="J4" s="6" t="s">
        <v>113</v>
      </c>
      <c r="K4" s="6" t="s">
        <v>114</v>
      </c>
      <c r="L4" s="6" t="s">
        <v>115</v>
      </c>
      <c r="M4" s="6" t="s">
        <v>116</v>
      </c>
      <c r="N4" s="6" t="s">
        <v>117</v>
      </c>
      <c r="O4" s="6" t="s">
        <v>118</v>
      </c>
      <c r="P4" s="19" t="s">
        <v>119</v>
      </c>
      <c r="Q4" s="19" t="s">
        <v>120</v>
      </c>
      <c r="R4" s="6" t="s">
        <v>121</v>
      </c>
      <c r="S4" s="6" t="s">
        <v>122</v>
      </c>
      <c r="T4" s="19" t="s">
        <v>123</v>
      </c>
      <c r="U4" s="6" t="s">
        <v>124</v>
      </c>
      <c r="V4" s="6" t="s">
        <v>125</v>
      </c>
      <c r="W4" s="6" t="s">
        <v>126</v>
      </c>
      <c r="X4" s="6" t="s">
        <v>127</v>
      </c>
      <c r="Y4" s="6" t="s">
        <v>128</v>
      </c>
    </row>
    <row r="5" customFormat="false" ht="15" hidden="false" customHeight="false" outlineLevel="0" collapsed="false">
      <c r="A5" s="20" t="n">
        <v>0</v>
      </c>
      <c r="B5" s="20" t="n">
        <v>0</v>
      </c>
      <c r="C5" s="20" t="n">
        <v>0</v>
      </c>
      <c r="D5" s="20" t="n">
        <v>0</v>
      </c>
      <c r="E5" s="20" t="n">
        <v>0</v>
      </c>
      <c r="F5" s="20" t="n">
        <v>0</v>
      </c>
      <c r="G5" s="20" t="n">
        <v>0</v>
      </c>
      <c r="H5" s="20" t="n">
        <v>0</v>
      </c>
      <c r="I5" s="20" t="n">
        <v>0</v>
      </c>
      <c r="J5" s="20" t="n">
        <v>0</v>
      </c>
      <c r="K5" s="20" t="n">
        <v>0</v>
      </c>
      <c r="L5" s="20" t="n">
        <v>0</v>
      </c>
      <c r="M5" s="20" t="n">
        <v>0</v>
      </c>
      <c r="N5" s="20" t="n">
        <v>0</v>
      </c>
      <c r="O5" s="20" t="n">
        <v>0</v>
      </c>
      <c r="P5" s="20" t="n">
        <v>0</v>
      </c>
      <c r="Q5" s="20" t="n">
        <v>0</v>
      </c>
      <c r="R5" s="20" t="n">
        <v>0</v>
      </c>
      <c r="S5" s="20" t="n">
        <v>0</v>
      </c>
      <c r="T5" s="20" t="n">
        <v>0</v>
      </c>
      <c r="U5" s="20" t="n">
        <v>0</v>
      </c>
      <c r="V5" s="20" t="n">
        <v>0</v>
      </c>
      <c r="W5" s="20" t="n">
        <v>0</v>
      </c>
      <c r="X5" s="20" t="n">
        <v>0</v>
      </c>
      <c r="Y5" s="20" t="n">
        <v>0</v>
      </c>
    </row>
    <row r="6" customFormat="false" ht="15" hidden="false" customHeight="false" outlineLevel="0" collapsed="false">
      <c r="A6" s="21" t="n">
        <v>1</v>
      </c>
      <c r="B6" s="22" t="n">
        <f aca="false">C6/前提条件!$C$10</f>
        <v>600</v>
      </c>
      <c r="C6" s="22" t="n">
        <f aca="false">前提条件!$C$6</f>
        <v>150</v>
      </c>
      <c r="D6" s="22" t="n">
        <f aca="false">D5+C6</f>
        <v>150</v>
      </c>
      <c r="E6" s="23" t="n">
        <f aca="false">MAX(0,E5*(1-前提条件!$C$12)+C6*前提条件!$C$11-I6)</f>
        <v>60</v>
      </c>
      <c r="F6" s="23" t="n">
        <f aca="false">F5*(1-前提条件!$C$15)+I6</f>
        <v>0</v>
      </c>
      <c r="G6" s="23" t="n">
        <f aca="false">E6+F6</f>
        <v>60</v>
      </c>
      <c r="H6" s="24" t="n">
        <f aca="false">前提条件!$C$13*MIN(1,$A6/前提条件!$C$14)</f>
        <v>0.005</v>
      </c>
      <c r="I6" s="23" t="n">
        <f aca="false">E5*H6</f>
        <v>0</v>
      </c>
      <c r="J6" s="25" t="n">
        <f aca="false">F6*前提条件!$C$16</f>
        <v>0</v>
      </c>
      <c r="K6" s="23" t="n">
        <f aca="false">IF($A6&lt;前提条件!$C$18,0,IF($A6&lt;=12,前提条件!$C$19,IF($A6&lt;=24,前提条件!$C$20,前提条件!$C$21)))</f>
        <v>0</v>
      </c>
      <c r="L6" s="23" t="n">
        <f aca="false">L5*(1-前提条件!$C$22)+K6</f>
        <v>0</v>
      </c>
      <c r="M6" s="25" t="n">
        <f aca="false">L6*前提条件!$C$23</f>
        <v>0</v>
      </c>
      <c r="N6" s="26" t="n">
        <f aca="false">J6+M6</f>
        <v>0</v>
      </c>
      <c r="O6" s="25" t="n">
        <f aca="false">IF($A6&lt;=12,前提条件!$C$25,前提条件!$C$26)</f>
        <v>15000</v>
      </c>
      <c r="P6" s="25" t="n">
        <f aca="false">G6*前提条件!$C$27</f>
        <v>180</v>
      </c>
      <c r="Q6" s="25" t="n">
        <f aca="false">F6*前提条件!$C$28</f>
        <v>0</v>
      </c>
      <c r="R6" s="25" t="n">
        <f aca="false">N6*前提条件!$C$30</f>
        <v>0</v>
      </c>
      <c r="S6" s="25" t="n">
        <f aca="false">IF($A6&lt;=12,前提条件!$C$31,IF($A6&lt;=24,前提条件!$C$32,前提条件!$C$33))</f>
        <v>30000</v>
      </c>
      <c r="T6" s="25" t="n">
        <f aca="false">IF(F6&gt;=前提条件!$C$34,前提条件!$C$35,0)</f>
        <v>0</v>
      </c>
      <c r="U6" s="25" t="n">
        <f aca="false">IF(L6&gt;=前提条件!$C$36,前提条件!$C$37,0)</f>
        <v>0</v>
      </c>
      <c r="V6" s="25" t="n">
        <f aca="false">(O6+P6+Q6+R6+S6+T6+U6)*前提条件!$C$38</f>
        <v>4518</v>
      </c>
      <c r="W6" s="26" t="n">
        <f aca="false">O6+P6+Q6+R6+S6+T6+U6+V6</f>
        <v>49698</v>
      </c>
      <c r="X6" s="26" t="n">
        <f aca="false">N6-W6</f>
        <v>-49698</v>
      </c>
      <c r="Y6" s="26" t="n">
        <f aca="false">Y5+X6</f>
        <v>-49698</v>
      </c>
    </row>
    <row r="7" customFormat="false" ht="15" hidden="false" customHeight="false" outlineLevel="0" collapsed="false">
      <c r="A7" s="21" t="n">
        <v>2</v>
      </c>
      <c r="B7" s="22" t="n">
        <f aca="false">C7/前提条件!$C$10</f>
        <v>624</v>
      </c>
      <c r="C7" s="22" t="n">
        <f aca="false">C6*(1+IF($A7&lt;=12,前提条件!$C$7,IF($A7&lt;=24,前提条件!$C$8,前提条件!$C$9)))</f>
        <v>156</v>
      </c>
      <c r="D7" s="22" t="n">
        <f aca="false">D6+C7</f>
        <v>306</v>
      </c>
      <c r="E7" s="23" t="n">
        <f aca="false">MAX(0,E6*(1-前提条件!$C$12)+C7*前提条件!$C$11-I7)</f>
        <v>117</v>
      </c>
      <c r="F7" s="23" t="n">
        <f aca="false">F6*(1-前提条件!$C$15)+I7</f>
        <v>0.6</v>
      </c>
      <c r="G7" s="23" t="n">
        <f aca="false">E7+F7</f>
        <v>117.6</v>
      </c>
      <c r="H7" s="24" t="n">
        <f aca="false">前提条件!$C$13*MIN(1,$A7/前提条件!$C$14)</f>
        <v>0.01</v>
      </c>
      <c r="I7" s="23" t="n">
        <f aca="false">E6*H7</f>
        <v>0.6</v>
      </c>
      <c r="J7" s="25" t="n">
        <f aca="false">F7*前提条件!$C$16</f>
        <v>330</v>
      </c>
      <c r="K7" s="23" t="n">
        <f aca="false">IF($A7&lt;前提条件!$C$18,0,IF($A7&lt;=12,前提条件!$C$19,IF($A7&lt;=24,前提条件!$C$20,前提条件!$C$21)))</f>
        <v>0</v>
      </c>
      <c r="L7" s="23" t="n">
        <f aca="false">L6*(1-前提条件!$C$22)+K7</f>
        <v>0</v>
      </c>
      <c r="M7" s="25" t="n">
        <f aca="false">L7*前提条件!$C$23</f>
        <v>0</v>
      </c>
      <c r="N7" s="26" t="n">
        <f aca="false">J7+M7</f>
        <v>330</v>
      </c>
      <c r="O7" s="25" t="n">
        <f aca="false">IF($A7&lt;=12,前提条件!$C$25,前提条件!$C$26)</f>
        <v>15000</v>
      </c>
      <c r="P7" s="25" t="n">
        <f aca="false">G7*前提条件!$C$27</f>
        <v>352.8</v>
      </c>
      <c r="Q7" s="25" t="n">
        <f aca="false">F7*前提条件!$C$28</f>
        <v>4.8</v>
      </c>
      <c r="R7" s="25" t="n">
        <f aca="false">N7*前提条件!$C$30</f>
        <v>26.4</v>
      </c>
      <c r="S7" s="25" t="n">
        <f aca="false">IF($A7&lt;=12,前提条件!$C$31,IF($A7&lt;=24,前提条件!$C$32,前提条件!$C$33))</f>
        <v>30000</v>
      </c>
      <c r="T7" s="25" t="n">
        <f aca="false">IF(F7&gt;=前提条件!$C$34,前提条件!$C$35,0)</f>
        <v>0</v>
      </c>
      <c r="U7" s="25" t="n">
        <f aca="false">IF(L7&gt;=前提条件!$C$36,前提条件!$C$37,0)</f>
        <v>0</v>
      </c>
      <c r="V7" s="25" t="n">
        <f aca="false">(O7+P7+Q7+R7+S7+T7+U7)*前提条件!$C$38</f>
        <v>4538.4</v>
      </c>
      <c r="W7" s="26" t="n">
        <f aca="false">O7+P7+Q7+R7+S7+T7+U7+V7</f>
        <v>49922.4</v>
      </c>
      <c r="X7" s="26" t="n">
        <f aca="false">N7-W7</f>
        <v>-49592.4</v>
      </c>
      <c r="Y7" s="26" t="n">
        <f aca="false">Y6+X7</f>
        <v>-99290.4</v>
      </c>
    </row>
    <row r="8" customFormat="false" ht="15" hidden="false" customHeight="false" outlineLevel="0" collapsed="false">
      <c r="A8" s="21" t="n">
        <v>3</v>
      </c>
      <c r="B8" s="22" t="n">
        <f aca="false">C8/前提条件!$C$10</f>
        <v>648.96</v>
      </c>
      <c r="C8" s="22" t="n">
        <f aca="false">C7*(1+IF($A8&lt;=12,前提条件!$C$7,IF($A8&lt;=24,前提条件!$C$8,前提条件!$C$9)))</f>
        <v>162.24</v>
      </c>
      <c r="D8" s="22" t="n">
        <f aca="false">D7+C8</f>
        <v>468.24</v>
      </c>
      <c r="E8" s="23" t="n">
        <f aca="false">MAX(0,E7*(1-前提条件!$C$12)+C8*前提条件!$C$11-I8)</f>
        <v>170.781</v>
      </c>
      <c r="F8" s="23" t="n">
        <f aca="false">F7*(1-前提条件!$C$15)+I8</f>
        <v>2.325</v>
      </c>
      <c r="G8" s="23" t="n">
        <f aca="false">E8+F8</f>
        <v>173.106</v>
      </c>
      <c r="H8" s="24" t="n">
        <f aca="false">前提条件!$C$13*MIN(1,$A8/前提条件!$C$14)</f>
        <v>0.015</v>
      </c>
      <c r="I8" s="23" t="n">
        <f aca="false">E7*H8</f>
        <v>1.755</v>
      </c>
      <c r="J8" s="25" t="n">
        <f aca="false">F8*前提条件!$C$16</f>
        <v>1278.75</v>
      </c>
      <c r="K8" s="23" t="n">
        <f aca="false">IF($A8&lt;前提条件!$C$18,0,IF($A8&lt;=12,前提条件!$C$19,IF($A8&lt;=24,前提条件!$C$20,前提条件!$C$21)))</f>
        <v>0</v>
      </c>
      <c r="L8" s="23" t="n">
        <f aca="false">L7*(1-前提条件!$C$22)+K8</f>
        <v>0</v>
      </c>
      <c r="M8" s="25" t="n">
        <f aca="false">L8*前提条件!$C$23</f>
        <v>0</v>
      </c>
      <c r="N8" s="26" t="n">
        <f aca="false">J8+M8</f>
        <v>1278.75</v>
      </c>
      <c r="O8" s="25" t="n">
        <f aca="false">IF($A8&lt;=12,前提条件!$C$25,前提条件!$C$26)</f>
        <v>15000</v>
      </c>
      <c r="P8" s="25" t="n">
        <f aca="false">G8*前提条件!$C$27</f>
        <v>519.318</v>
      </c>
      <c r="Q8" s="25" t="n">
        <f aca="false">F8*前提条件!$C$28</f>
        <v>18.6</v>
      </c>
      <c r="R8" s="25" t="n">
        <f aca="false">N8*前提条件!$C$30</f>
        <v>102.3</v>
      </c>
      <c r="S8" s="25" t="n">
        <f aca="false">IF($A8&lt;=12,前提条件!$C$31,IF($A8&lt;=24,前提条件!$C$32,前提条件!$C$33))</f>
        <v>30000</v>
      </c>
      <c r="T8" s="25" t="n">
        <f aca="false">IF(F8&gt;=前提条件!$C$34,前提条件!$C$35,0)</f>
        <v>0</v>
      </c>
      <c r="U8" s="25" t="n">
        <f aca="false">IF(L8&gt;=前提条件!$C$36,前提条件!$C$37,0)</f>
        <v>0</v>
      </c>
      <c r="V8" s="25" t="n">
        <f aca="false">(O8+P8+Q8+R8+S8+T8+U8)*前提条件!$C$38</f>
        <v>4564.0218</v>
      </c>
      <c r="W8" s="26" t="n">
        <f aca="false">O8+P8+Q8+R8+S8+T8+U8+V8</f>
        <v>50204.2398</v>
      </c>
      <c r="X8" s="26" t="n">
        <f aca="false">N8-W8</f>
        <v>-48925.4898</v>
      </c>
      <c r="Y8" s="26" t="n">
        <f aca="false">Y7+X8</f>
        <v>-148215.8898</v>
      </c>
    </row>
    <row r="9" customFormat="false" ht="15" hidden="false" customHeight="false" outlineLevel="0" collapsed="false">
      <c r="A9" s="21" t="n">
        <v>4</v>
      </c>
      <c r="B9" s="22" t="n">
        <f aca="false">C9/前提条件!$C$10</f>
        <v>674.9184</v>
      </c>
      <c r="C9" s="22" t="n">
        <f aca="false">C8*(1+IF($A9&lt;=12,前提条件!$C$7,IF($A9&lt;=24,前提条件!$C$8,前提条件!$C$9)))</f>
        <v>168.7296</v>
      </c>
      <c r="D9" s="22" t="n">
        <f aca="false">D8+C9</f>
        <v>636.9696</v>
      </c>
      <c r="E9" s="23" t="n">
        <f aca="false">MAX(0,E8*(1-前提条件!$C$12)+C9*前提条件!$C$11-I9)</f>
        <v>221.19474</v>
      </c>
      <c r="F9" s="23" t="n">
        <f aca="false">F8*(1-前提条件!$C$15)+I9</f>
        <v>5.62437</v>
      </c>
      <c r="G9" s="23" t="n">
        <f aca="false">E9+F9</f>
        <v>226.81911</v>
      </c>
      <c r="H9" s="24" t="n">
        <f aca="false">前提条件!$C$13*MIN(1,$A9/前提条件!$C$14)</f>
        <v>0.02</v>
      </c>
      <c r="I9" s="23" t="n">
        <f aca="false">E8*H9</f>
        <v>3.41562</v>
      </c>
      <c r="J9" s="25" t="n">
        <f aca="false">F9*前提条件!$C$16</f>
        <v>3093.4035</v>
      </c>
      <c r="K9" s="23" t="n">
        <f aca="false">IF($A9&lt;前提条件!$C$18,0,IF($A9&lt;=12,前提条件!$C$19,IF($A9&lt;=24,前提条件!$C$20,前提条件!$C$21)))</f>
        <v>0</v>
      </c>
      <c r="L9" s="23" t="n">
        <f aca="false">L8*(1-前提条件!$C$22)+K9</f>
        <v>0</v>
      </c>
      <c r="M9" s="25" t="n">
        <f aca="false">L9*前提条件!$C$23</f>
        <v>0</v>
      </c>
      <c r="N9" s="26" t="n">
        <f aca="false">J9+M9</f>
        <v>3093.4035</v>
      </c>
      <c r="O9" s="25" t="n">
        <f aca="false">IF($A9&lt;=12,前提条件!$C$25,前提条件!$C$26)</f>
        <v>15000</v>
      </c>
      <c r="P9" s="25" t="n">
        <f aca="false">G9*前提条件!$C$27</f>
        <v>680.45733</v>
      </c>
      <c r="Q9" s="25" t="n">
        <f aca="false">F9*前提条件!$C$28</f>
        <v>44.99496</v>
      </c>
      <c r="R9" s="25" t="n">
        <f aca="false">N9*前提条件!$C$30</f>
        <v>247.47228</v>
      </c>
      <c r="S9" s="25" t="n">
        <f aca="false">IF($A9&lt;=12,前提条件!$C$31,IF($A9&lt;=24,前提条件!$C$32,前提条件!$C$33))</f>
        <v>30000</v>
      </c>
      <c r="T9" s="25" t="n">
        <f aca="false">IF(F9&gt;=前提条件!$C$34,前提条件!$C$35,0)</f>
        <v>0</v>
      </c>
      <c r="U9" s="25" t="n">
        <f aca="false">IF(L9&gt;=前提条件!$C$36,前提条件!$C$37,0)</f>
        <v>0</v>
      </c>
      <c r="V9" s="25" t="n">
        <f aca="false">(O9+P9+Q9+R9+S9+T9+U9)*前提条件!$C$38</f>
        <v>4597.292457</v>
      </c>
      <c r="W9" s="26" t="n">
        <f aca="false">O9+P9+Q9+R9+S9+T9+U9+V9</f>
        <v>50570.217027</v>
      </c>
      <c r="X9" s="26" t="n">
        <f aca="false">N9-W9</f>
        <v>-47476.813527</v>
      </c>
      <c r="Y9" s="26" t="n">
        <f aca="false">Y8+X9</f>
        <v>-195692.703327</v>
      </c>
    </row>
    <row r="10" customFormat="false" ht="15" hidden="false" customHeight="false" outlineLevel="0" collapsed="false">
      <c r="A10" s="21" t="n">
        <v>5</v>
      </c>
      <c r="B10" s="22" t="n">
        <f aca="false">C10/前提条件!$C$10</f>
        <v>701.915136</v>
      </c>
      <c r="C10" s="22" t="n">
        <f aca="false">C9*(1+IF($A10&lt;=12,前提条件!$C$7,IF($A10&lt;=24,前提条件!$C$8,前提条件!$C$9)))</f>
        <v>175.478784</v>
      </c>
      <c r="D10" s="22" t="n">
        <f aca="false">D9+C10</f>
        <v>812.448384</v>
      </c>
      <c r="E10" s="23" t="n">
        <f aca="false">MAX(0,E9*(1-前提条件!$C$12)+C10*前提条件!$C$11-I10)</f>
        <v>268.1608059</v>
      </c>
      <c r="F10" s="23" t="n">
        <f aca="false">F9*(1-前提条件!$C$15)+I10</f>
        <v>10.87302</v>
      </c>
      <c r="G10" s="23" t="n">
        <f aca="false">E10+F10</f>
        <v>279.0338259</v>
      </c>
      <c r="H10" s="24" t="n">
        <f aca="false">前提条件!$C$13*MIN(1,$A10/前提条件!$C$14)</f>
        <v>0.025</v>
      </c>
      <c r="I10" s="23" t="n">
        <f aca="false">E9*H10</f>
        <v>5.5298685</v>
      </c>
      <c r="J10" s="25" t="n">
        <f aca="false">F10*前提条件!$C$16</f>
        <v>5980.161</v>
      </c>
      <c r="K10" s="23" t="n">
        <f aca="false">IF($A10&lt;前提条件!$C$18,0,IF($A10&lt;=12,前提条件!$C$19,IF($A10&lt;=24,前提条件!$C$20,前提条件!$C$21)))</f>
        <v>0</v>
      </c>
      <c r="L10" s="23" t="n">
        <f aca="false">L9*(1-前提条件!$C$22)+K10</f>
        <v>0</v>
      </c>
      <c r="M10" s="25" t="n">
        <f aca="false">L10*前提条件!$C$23</f>
        <v>0</v>
      </c>
      <c r="N10" s="26" t="n">
        <f aca="false">J10+M10</f>
        <v>5980.161</v>
      </c>
      <c r="O10" s="25" t="n">
        <f aca="false">IF($A10&lt;=12,前提条件!$C$25,前提条件!$C$26)</f>
        <v>15000</v>
      </c>
      <c r="P10" s="25" t="n">
        <f aca="false">G10*前提条件!$C$27</f>
        <v>837.1014777</v>
      </c>
      <c r="Q10" s="25" t="n">
        <f aca="false">F10*前提条件!$C$28</f>
        <v>86.98416</v>
      </c>
      <c r="R10" s="25" t="n">
        <f aca="false">N10*前提条件!$C$30</f>
        <v>478.41288</v>
      </c>
      <c r="S10" s="25" t="n">
        <f aca="false">IF($A10&lt;=12,前提条件!$C$31,IF($A10&lt;=24,前提条件!$C$32,前提条件!$C$33))</f>
        <v>30000</v>
      </c>
      <c r="T10" s="25" t="n">
        <f aca="false">IF(F10&gt;=前提条件!$C$34,前提条件!$C$35,0)</f>
        <v>0</v>
      </c>
      <c r="U10" s="25" t="n">
        <f aca="false">IF(L10&gt;=前提条件!$C$36,前提条件!$C$37,0)</f>
        <v>0</v>
      </c>
      <c r="V10" s="25" t="n">
        <f aca="false">(O10+P10+Q10+R10+S10+T10+U10)*前提条件!$C$38</f>
        <v>4640.24985177</v>
      </c>
      <c r="W10" s="26" t="n">
        <f aca="false">O10+P10+Q10+R10+S10+T10+U10+V10</f>
        <v>51042.74836947</v>
      </c>
      <c r="X10" s="26" t="n">
        <f aca="false">N10-W10</f>
        <v>-45062.58736947</v>
      </c>
      <c r="Y10" s="26" t="n">
        <f aca="false">Y9+X10</f>
        <v>-240755.29069647</v>
      </c>
    </row>
    <row r="11" customFormat="false" ht="15" hidden="false" customHeight="false" outlineLevel="0" collapsed="false">
      <c r="A11" s="21" t="n">
        <v>6</v>
      </c>
      <c r="B11" s="22" t="n">
        <f aca="false">C11/前提条件!$C$10</f>
        <v>729.99174144</v>
      </c>
      <c r="C11" s="22" t="n">
        <f aca="false">C10*(1+IF($A11&lt;=12,前提条件!$C$7,IF($A11&lt;=24,前提条件!$C$8,前提条件!$C$9)))</f>
        <v>182.49793536</v>
      </c>
      <c r="D11" s="22" t="n">
        <f aca="false">D10+C11</f>
        <v>994.94631936</v>
      </c>
      <c r="E11" s="23" t="n">
        <f aca="false">MAX(0,E10*(1-前提条件!$C$12)+C11*前提条件!$C$11-I11)</f>
        <v>311.662291395</v>
      </c>
      <c r="F11" s="23" t="n">
        <f aca="false">F10*(1-前提条件!$C$15)+I11</f>
        <v>18.374193177</v>
      </c>
      <c r="G11" s="23" t="n">
        <f aca="false">E11+F11</f>
        <v>330.036484572</v>
      </c>
      <c r="H11" s="24" t="n">
        <f aca="false">前提条件!$C$13*MIN(1,$A11/前提条件!$C$14)</f>
        <v>0.03</v>
      </c>
      <c r="I11" s="23" t="n">
        <f aca="false">E10*H11</f>
        <v>8.044824177</v>
      </c>
      <c r="J11" s="25" t="n">
        <f aca="false">F11*前提条件!$C$16</f>
        <v>10105.80624735</v>
      </c>
      <c r="K11" s="23" t="n">
        <f aca="false">IF($A11&lt;前提条件!$C$18,0,IF($A11&lt;=12,前提条件!$C$19,IF($A11&lt;=24,前提条件!$C$20,前提条件!$C$21)))</f>
        <v>0</v>
      </c>
      <c r="L11" s="23" t="n">
        <f aca="false">L10*(1-前提条件!$C$22)+K11</f>
        <v>0</v>
      </c>
      <c r="M11" s="25" t="n">
        <f aca="false">L11*前提条件!$C$23</f>
        <v>0</v>
      </c>
      <c r="N11" s="26" t="n">
        <f aca="false">J11+M11</f>
        <v>10105.80624735</v>
      </c>
      <c r="O11" s="25" t="n">
        <f aca="false">IF($A11&lt;=12,前提条件!$C$25,前提条件!$C$26)</f>
        <v>15000</v>
      </c>
      <c r="P11" s="25" t="n">
        <f aca="false">G11*前提条件!$C$27</f>
        <v>990.109453716</v>
      </c>
      <c r="Q11" s="25" t="n">
        <f aca="false">F11*前提条件!$C$28</f>
        <v>146.993545416</v>
      </c>
      <c r="R11" s="25" t="n">
        <f aca="false">N11*前提条件!$C$30</f>
        <v>808.464499788</v>
      </c>
      <c r="S11" s="25" t="n">
        <f aca="false">IF($A11&lt;=12,前提条件!$C$31,IF($A11&lt;=24,前提条件!$C$32,前提条件!$C$33))</f>
        <v>30000</v>
      </c>
      <c r="T11" s="25" t="n">
        <f aca="false">IF(F11&gt;=前提条件!$C$34,前提条件!$C$35,0)</f>
        <v>0</v>
      </c>
      <c r="U11" s="25" t="n">
        <f aca="false">IF(L11&gt;=前提条件!$C$36,前提条件!$C$37,0)</f>
        <v>0</v>
      </c>
      <c r="V11" s="25" t="n">
        <f aca="false">(O11+P11+Q11+R11+S11+T11+U11)*前提条件!$C$38</f>
        <v>4694.556749892</v>
      </c>
      <c r="W11" s="26" t="n">
        <f aca="false">O11+P11+Q11+R11+S11+T11+U11+V11</f>
        <v>51640.124248812</v>
      </c>
      <c r="X11" s="26" t="n">
        <f aca="false">N11-W11</f>
        <v>-41534.318001462</v>
      </c>
      <c r="Y11" s="26" t="n">
        <f aca="false">Y10+X11</f>
        <v>-282289.608697932</v>
      </c>
    </row>
    <row r="12" customFormat="false" ht="15" hidden="false" customHeight="false" outlineLevel="0" collapsed="false">
      <c r="A12" s="21" t="n">
        <v>7</v>
      </c>
      <c r="B12" s="22" t="n">
        <f aca="false">C12/前提条件!$C$10</f>
        <v>759.1914110976</v>
      </c>
      <c r="C12" s="22" t="n">
        <f aca="false">C11*(1+IF($A12&lt;=12,前提条件!$C$7,IF($A12&lt;=24,前提条件!$C$8,前提条件!$C$9)))</f>
        <v>189.7978527744</v>
      </c>
      <c r="D12" s="22" t="n">
        <f aca="false">D11+C12</f>
        <v>1184.7441721344</v>
      </c>
      <c r="E12" s="23" t="n">
        <f aca="false">MAX(0,E11*(1-前提条件!$C$12)+C12*前提条件!$C$11-I12)</f>
        <v>353.29858045131</v>
      </c>
      <c r="F12" s="23" t="n">
        <f aca="false">F11*(1-前提条件!$C$15)+I12</f>
        <v>26.80535226</v>
      </c>
      <c r="G12" s="23" t="n">
        <f aca="false">E12+F12</f>
        <v>380.10393271131</v>
      </c>
      <c r="H12" s="24" t="n">
        <f aca="false">前提条件!$C$13*MIN(1,$A12/前提条件!$C$14)</f>
        <v>0.03</v>
      </c>
      <c r="I12" s="23" t="n">
        <f aca="false">E11*H12</f>
        <v>9.34986874185</v>
      </c>
      <c r="J12" s="25" t="n">
        <f aca="false">F12*前提条件!$C$16</f>
        <v>14742.943743</v>
      </c>
      <c r="K12" s="23" t="n">
        <f aca="false">IF($A12&lt;前提条件!$C$18,0,IF($A12&lt;=12,前提条件!$C$19,IF($A12&lt;=24,前提条件!$C$20,前提条件!$C$21)))</f>
        <v>0.3</v>
      </c>
      <c r="L12" s="23" t="n">
        <f aca="false">L11*(1-前提条件!$C$22)+K12</f>
        <v>0.3</v>
      </c>
      <c r="M12" s="25" t="n">
        <f aca="false">L12*前提条件!$C$23</f>
        <v>600</v>
      </c>
      <c r="N12" s="26" t="n">
        <f aca="false">J12+M12</f>
        <v>15342.943743</v>
      </c>
      <c r="O12" s="25" t="n">
        <f aca="false">IF($A12&lt;=12,前提条件!$C$25,前提条件!$C$26)</f>
        <v>15000</v>
      </c>
      <c r="P12" s="25" t="n">
        <f aca="false">G12*前提条件!$C$27</f>
        <v>1140.31179813393</v>
      </c>
      <c r="Q12" s="25" t="n">
        <f aca="false">F12*前提条件!$C$28</f>
        <v>214.44281808</v>
      </c>
      <c r="R12" s="25" t="n">
        <f aca="false">N12*前提条件!$C$30</f>
        <v>1227.43549944</v>
      </c>
      <c r="S12" s="25" t="n">
        <f aca="false">IF($A12&lt;=12,前提条件!$C$31,IF($A12&lt;=24,前提条件!$C$32,前提条件!$C$33))</f>
        <v>30000</v>
      </c>
      <c r="T12" s="25" t="n">
        <f aca="false">IF(F12&gt;=前提条件!$C$34,前提条件!$C$35,0)</f>
        <v>0</v>
      </c>
      <c r="U12" s="25" t="n">
        <f aca="false">IF(L12&gt;=前提条件!$C$36,前提条件!$C$37,0)</f>
        <v>0</v>
      </c>
      <c r="V12" s="25" t="n">
        <f aca="false">(O12+P12+Q12+R12+S12+T12+U12)*前提条件!$C$38</f>
        <v>4758.21901156539</v>
      </c>
      <c r="W12" s="26" t="n">
        <f aca="false">O12+P12+Q12+R12+S12+T12+U12+V12</f>
        <v>52340.4091272193</v>
      </c>
      <c r="X12" s="26" t="n">
        <f aca="false">N12-W12</f>
        <v>-36997.4653842193</v>
      </c>
      <c r="Y12" s="26" t="n">
        <f aca="false">Y11+X12</f>
        <v>-319287.074082151</v>
      </c>
    </row>
    <row r="13" customFormat="false" ht="15" hidden="false" customHeight="false" outlineLevel="0" collapsed="false">
      <c r="A13" s="21" t="n">
        <v>8</v>
      </c>
      <c r="B13" s="22" t="n">
        <f aca="false">C13/前提条件!$C$10</f>
        <v>789.559067541504</v>
      </c>
      <c r="C13" s="22" t="n">
        <f aca="false">C12*(1+IF($A13&lt;=12,前提条件!$C$7,IF($A13&lt;=24,前提条件!$C$8,前提条件!$C$9)))</f>
        <v>197.389766885376</v>
      </c>
      <c r="D13" s="22" t="n">
        <f aca="false">D12+C13</f>
        <v>1382.13393901978</v>
      </c>
      <c r="E13" s="23" t="n">
        <f aca="false">MAX(0,E12*(1-前提条件!$C$12)+C13*前提条件!$C$11-I13)</f>
        <v>393.391643355816</v>
      </c>
      <c r="F13" s="23" t="n">
        <f aca="false">F12*(1-前提条件!$C$15)+I13</f>
        <v>36.0640420605393</v>
      </c>
      <c r="G13" s="23" t="n">
        <f aca="false">E13+F13</f>
        <v>429.455685416356</v>
      </c>
      <c r="H13" s="24" t="n">
        <f aca="false">前提条件!$C$13*MIN(1,$A13/前提条件!$C$14)</f>
        <v>0.03</v>
      </c>
      <c r="I13" s="23" t="n">
        <f aca="false">E12*H13</f>
        <v>10.5989574135393</v>
      </c>
      <c r="J13" s="25" t="n">
        <f aca="false">F13*前提条件!$C$16</f>
        <v>19835.2231332966</v>
      </c>
      <c r="K13" s="23" t="n">
        <f aca="false">IF($A13&lt;前提条件!$C$18,0,IF($A13&lt;=12,前提条件!$C$19,IF($A13&lt;=24,前提条件!$C$20,前提条件!$C$21)))</f>
        <v>0.3</v>
      </c>
      <c r="L13" s="23" t="n">
        <f aca="false">L12*(1-前提条件!$C$22)+K13</f>
        <v>0.588</v>
      </c>
      <c r="M13" s="25" t="n">
        <f aca="false">L13*前提条件!$C$23</f>
        <v>1176</v>
      </c>
      <c r="N13" s="26" t="n">
        <f aca="false">J13+M13</f>
        <v>21011.2231332966</v>
      </c>
      <c r="O13" s="25" t="n">
        <f aca="false">IF($A13&lt;=12,前提条件!$C$25,前提条件!$C$26)</f>
        <v>15000</v>
      </c>
      <c r="P13" s="25" t="n">
        <f aca="false">G13*前提条件!$C$27</f>
        <v>1288.36705624907</v>
      </c>
      <c r="Q13" s="25" t="n">
        <f aca="false">F13*前提条件!$C$28</f>
        <v>288.512336484314</v>
      </c>
      <c r="R13" s="25" t="n">
        <f aca="false">N13*前提条件!$C$30</f>
        <v>1680.89785066373</v>
      </c>
      <c r="S13" s="25" t="n">
        <f aca="false">IF($A13&lt;=12,前提条件!$C$31,IF($A13&lt;=24,前提条件!$C$32,前提条件!$C$33))</f>
        <v>30000</v>
      </c>
      <c r="T13" s="25" t="n">
        <f aca="false">IF(F13&gt;=前提条件!$C$34,前提条件!$C$35,0)</f>
        <v>0</v>
      </c>
      <c r="U13" s="25" t="n">
        <f aca="false">IF(L13&gt;=前提条件!$C$36,前提条件!$C$37,0)</f>
        <v>0</v>
      </c>
      <c r="V13" s="25" t="n">
        <f aca="false">(O13+P13+Q13+R13+S13+T13+U13)*前提条件!$C$38</f>
        <v>4825.77772433971</v>
      </c>
      <c r="W13" s="26" t="n">
        <f aca="false">O13+P13+Q13+R13+S13+T13+U13+V13</f>
        <v>53083.5549677368</v>
      </c>
      <c r="X13" s="26" t="n">
        <f aca="false">N13-W13</f>
        <v>-32072.3318344402</v>
      </c>
      <c r="Y13" s="26" t="n">
        <f aca="false">Y12+X13</f>
        <v>-351359.405916592</v>
      </c>
    </row>
    <row r="14" customFormat="false" ht="15" hidden="false" customHeight="false" outlineLevel="0" collapsed="false">
      <c r="A14" s="21" t="n">
        <v>9</v>
      </c>
      <c r="B14" s="22" t="n">
        <f aca="false">C14/前提条件!$C$10</f>
        <v>821.141430243164</v>
      </c>
      <c r="C14" s="22" t="n">
        <f aca="false">C13*(1+IF($A14&lt;=12,前提条件!$C$7,IF($A14&lt;=24,前提条件!$C$8,前提条件!$C$9)))</f>
        <v>205.285357560791</v>
      </c>
      <c r="D14" s="22" t="n">
        <f aca="false">D13+C14</f>
        <v>1587.41929658057</v>
      </c>
      <c r="E14" s="23" t="n">
        <f aca="false">MAX(0,E13*(1-前提条件!$C$12)+C14*前提条件!$C$11-I14)</f>
        <v>432.232705610993</v>
      </c>
      <c r="F14" s="23" t="n">
        <f aca="false">F13*(1-前提条件!$C$15)+I14</f>
        <v>46.0625892581868</v>
      </c>
      <c r="G14" s="23" t="n">
        <f aca="false">E14+F14</f>
        <v>478.29529486918</v>
      </c>
      <c r="H14" s="24" t="n">
        <f aca="false">前提条件!$C$13*MIN(1,$A14/前提条件!$C$14)</f>
        <v>0.03</v>
      </c>
      <c r="I14" s="23" t="n">
        <f aca="false">E13*H14</f>
        <v>11.8017493006745</v>
      </c>
      <c r="J14" s="25" t="n">
        <f aca="false">F14*前提条件!$C$16</f>
        <v>25334.4240920028</v>
      </c>
      <c r="K14" s="23" t="n">
        <f aca="false">IF($A14&lt;前提条件!$C$18,0,IF($A14&lt;=12,前提条件!$C$19,IF($A14&lt;=24,前提条件!$C$20,前提条件!$C$21)))</f>
        <v>0.3</v>
      </c>
      <c r="L14" s="23" t="n">
        <f aca="false">L13*(1-前提条件!$C$22)+K14</f>
        <v>0.86448</v>
      </c>
      <c r="M14" s="25" t="n">
        <f aca="false">L14*前提条件!$C$23</f>
        <v>1728.96</v>
      </c>
      <c r="N14" s="26" t="n">
        <f aca="false">J14+M14</f>
        <v>27063.3840920028</v>
      </c>
      <c r="O14" s="25" t="n">
        <f aca="false">IF($A14&lt;=12,前提条件!$C$25,前提条件!$C$26)</f>
        <v>15000</v>
      </c>
      <c r="P14" s="25" t="n">
        <f aca="false">G14*前提条件!$C$27</f>
        <v>1434.88588460754</v>
      </c>
      <c r="Q14" s="25" t="n">
        <f aca="false">F14*前提条件!$C$28</f>
        <v>368.500714065495</v>
      </c>
      <c r="R14" s="25" t="n">
        <f aca="false">N14*前提条件!$C$30</f>
        <v>2165.07072736022</v>
      </c>
      <c r="S14" s="25" t="n">
        <f aca="false">IF($A14&lt;=12,前提条件!$C$31,IF($A14&lt;=24,前提条件!$C$32,前提条件!$C$33))</f>
        <v>30000</v>
      </c>
      <c r="T14" s="25" t="n">
        <f aca="false">IF(F14&gt;=前提条件!$C$34,前提条件!$C$35,0)</f>
        <v>0</v>
      </c>
      <c r="U14" s="25" t="n">
        <f aca="false">IF(L14&gt;=前提条件!$C$36,前提条件!$C$37,0)</f>
        <v>0</v>
      </c>
      <c r="V14" s="25" t="n">
        <f aca="false">(O14+P14+Q14+R14+S14+T14+U14)*前提条件!$C$38</f>
        <v>4896.84573260333</v>
      </c>
      <c r="W14" s="26" t="n">
        <f aca="false">O14+P14+Q14+R14+S14+T14+U14+V14</f>
        <v>53865.3030586366</v>
      </c>
      <c r="X14" s="26" t="n">
        <f aca="false">N14-W14</f>
        <v>-26801.9189666338</v>
      </c>
      <c r="Y14" s="26" t="n">
        <f aca="false">Y13+X14</f>
        <v>-378161.324883225</v>
      </c>
    </row>
    <row r="15" customFormat="false" ht="15" hidden="false" customHeight="false" outlineLevel="0" collapsed="false">
      <c r="A15" s="21" t="n">
        <v>10</v>
      </c>
      <c r="B15" s="22" t="n">
        <f aca="false">C15/前提条件!$C$10</f>
        <v>853.987087452891</v>
      </c>
      <c r="C15" s="22" t="n">
        <f aca="false">C14*(1+IF($A15&lt;=12,前提条件!$C$7,IF($A15&lt;=24,前提条件!$C$8,前提条件!$C$9)))</f>
        <v>213.496771863223</v>
      </c>
      <c r="D15" s="22" t="n">
        <f aca="false">D14+C15</f>
        <v>1800.91606844379</v>
      </c>
      <c r="E15" s="23" t="n">
        <f aca="false">MAX(0,E14*(1-前提条件!$C$12)+C15*前提条件!$C$11-I15)</f>
        <v>470.085816739073</v>
      </c>
      <c r="F15" s="23" t="n">
        <f aca="false">F14*(1-前提条件!$C$15)+I15</f>
        <v>56.7264409636073</v>
      </c>
      <c r="G15" s="23" t="n">
        <f aca="false">E15+F15</f>
        <v>526.81225770268</v>
      </c>
      <c r="H15" s="24" t="n">
        <f aca="false">前提条件!$C$13*MIN(1,$A15/前提条件!$C$14)</f>
        <v>0.03</v>
      </c>
      <c r="I15" s="23" t="n">
        <f aca="false">E14*H15</f>
        <v>12.9669811683298</v>
      </c>
      <c r="J15" s="25" t="n">
        <f aca="false">F15*前提条件!$C$16</f>
        <v>31199.542529984</v>
      </c>
      <c r="K15" s="23" t="n">
        <f aca="false">IF($A15&lt;前提条件!$C$18,0,IF($A15&lt;=12,前提条件!$C$19,IF($A15&lt;=24,前提条件!$C$20,前提条件!$C$21)))</f>
        <v>0.3</v>
      </c>
      <c r="L15" s="23" t="n">
        <f aca="false">L14*(1-前提条件!$C$22)+K15</f>
        <v>1.1299008</v>
      </c>
      <c r="M15" s="25" t="n">
        <f aca="false">L15*前提条件!$C$23</f>
        <v>2259.8016</v>
      </c>
      <c r="N15" s="26" t="n">
        <f aca="false">J15+M15</f>
        <v>33459.344129984</v>
      </c>
      <c r="O15" s="25" t="n">
        <f aca="false">IF($A15&lt;=12,前提条件!$C$25,前提条件!$C$26)</f>
        <v>15000</v>
      </c>
      <c r="P15" s="25" t="n">
        <f aca="false">G15*前提条件!$C$27</f>
        <v>1580.43677310804</v>
      </c>
      <c r="Q15" s="25" t="n">
        <f aca="false">F15*前提条件!$C$28</f>
        <v>453.811527708858</v>
      </c>
      <c r="R15" s="25" t="n">
        <f aca="false">N15*前提条件!$C$30</f>
        <v>2676.74753039872</v>
      </c>
      <c r="S15" s="25" t="n">
        <f aca="false">IF($A15&lt;=12,前提条件!$C$31,IF($A15&lt;=24,前提条件!$C$32,前提条件!$C$33))</f>
        <v>30000</v>
      </c>
      <c r="T15" s="25" t="n">
        <f aca="false">IF(F15&gt;=前提条件!$C$34,前提条件!$C$35,0)</f>
        <v>0</v>
      </c>
      <c r="U15" s="25" t="n">
        <f aca="false">IF(L15&gt;=前提条件!$C$36,前提条件!$C$37,0)</f>
        <v>0</v>
      </c>
      <c r="V15" s="25" t="n">
        <f aca="false">(O15+P15+Q15+R15+S15+T15+U15)*前提条件!$C$38</f>
        <v>4971.09958312156</v>
      </c>
      <c r="W15" s="26" t="n">
        <f aca="false">O15+P15+Q15+R15+S15+T15+U15+V15</f>
        <v>54682.0954143372</v>
      </c>
      <c r="X15" s="26" t="n">
        <f aca="false">N15-W15</f>
        <v>-21222.7512843532</v>
      </c>
      <c r="Y15" s="26" t="n">
        <f aca="false">Y14+X15</f>
        <v>-399384.076167579</v>
      </c>
    </row>
    <row r="16" customFormat="false" ht="15" hidden="false" customHeight="false" outlineLevel="0" collapsed="false">
      <c r="A16" s="21" t="n">
        <v>11</v>
      </c>
      <c r="B16" s="22" t="n">
        <f aca="false">C16/前提条件!$C$10</f>
        <v>888.146570951007</v>
      </c>
      <c r="C16" s="22" t="n">
        <f aca="false">C15*(1+IF($A16&lt;=12,前提条件!$C$7,IF($A16&lt;=24,前提条件!$C$8,前提条件!$C$9)))</f>
        <v>222.036642737752</v>
      </c>
      <c r="D16" s="22" t="n">
        <f aca="false">D15+C16</f>
        <v>2022.95271118154</v>
      </c>
      <c r="E16" s="23" t="n">
        <f aca="false">MAX(0,E15*(1-前提条件!$C$12)+C16*前提条件!$C$11-I16)</f>
        <v>507.191033992876</v>
      </c>
      <c r="F16" s="23" t="n">
        <f aca="false">F15*(1-前提条件!$C$15)+I16</f>
        <v>67.9926934175991</v>
      </c>
      <c r="G16" s="23" t="n">
        <f aca="false">E16+F16</f>
        <v>575.183727410475</v>
      </c>
      <c r="H16" s="24" t="n">
        <f aca="false">前提条件!$C$13*MIN(1,$A16/前提条件!$C$14)</f>
        <v>0.03</v>
      </c>
      <c r="I16" s="23" t="n">
        <f aca="false">E15*H16</f>
        <v>14.1025745021722</v>
      </c>
      <c r="J16" s="25" t="n">
        <f aca="false">F16*前提条件!$C$16</f>
        <v>37395.9813796795</v>
      </c>
      <c r="K16" s="23" t="n">
        <f aca="false">IF($A16&lt;前提条件!$C$18,0,IF($A16&lt;=12,前提条件!$C$19,IF($A16&lt;=24,前提条件!$C$20,前提条件!$C$21)))</f>
        <v>0.3</v>
      </c>
      <c r="L16" s="23" t="n">
        <f aca="false">L15*(1-前提条件!$C$22)+K16</f>
        <v>1.384704768</v>
      </c>
      <c r="M16" s="25" t="n">
        <f aca="false">L16*前提条件!$C$23</f>
        <v>2769.409536</v>
      </c>
      <c r="N16" s="26" t="n">
        <f aca="false">J16+M16</f>
        <v>40165.3909156795</v>
      </c>
      <c r="O16" s="25" t="n">
        <f aca="false">IF($A16&lt;=12,前提条件!$C$25,前提条件!$C$26)</f>
        <v>15000</v>
      </c>
      <c r="P16" s="25" t="n">
        <f aca="false">G16*前提条件!$C$27</f>
        <v>1725.55118223142</v>
      </c>
      <c r="Q16" s="25" t="n">
        <f aca="false">F16*前提条件!$C$28</f>
        <v>543.941547340793</v>
      </c>
      <c r="R16" s="25" t="n">
        <f aca="false">N16*前提条件!$C$30</f>
        <v>3213.23127325436</v>
      </c>
      <c r="S16" s="25" t="n">
        <f aca="false">IF($A16&lt;=12,前提条件!$C$31,IF($A16&lt;=24,前提条件!$C$32,前提条件!$C$33))</f>
        <v>30000</v>
      </c>
      <c r="T16" s="25" t="n">
        <f aca="false">IF(F16&gt;=前提条件!$C$34,前提条件!$C$35,0)</f>
        <v>0</v>
      </c>
      <c r="U16" s="25" t="n">
        <f aca="false">IF(L16&gt;=前提条件!$C$36,前提条件!$C$37,0)</f>
        <v>0</v>
      </c>
      <c r="V16" s="25" t="n">
        <f aca="false">(O16+P16+Q16+R16+S16+T16+U16)*前提条件!$C$38</f>
        <v>5048.27240028266</v>
      </c>
      <c r="W16" s="26" t="n">
        <f aca="false">O16+P16+Q16+R16+S16+T16+U16+V16</f>
        <v>55530.9964031092</v>
      </c>
      <c r="X16" s="26" t="n">
        <f aca="false">N16-W16</f>
        <v>-15365.6054874297</v>
      </c>
      <c r="Y16" s="26" t="n">
        <f aca="false">Y15+X16</f>
        <v>-414749.681655008</v>
      </c>
    </row>
    <row r="17" customFormat="false" ht="15" hidden="false" customHeight="false" outlineLevel="0" collapsed="false">
      <c r="A17" s="27" t="n">
        <v>12</v>
      </c>
      <c r="B17" s="28" t="n">
        <f aca="false">C17/前提条件!$C$10</f>
        <v>923.672433789047</v>
      </c>
      <c r="C17" s="28" t="n">
        <f aca="false">C16*(1+IF($A17&lt;=12,前提条件!$C$7,IF($A17&lt;=24,前提条件!$C$8,前提条件!$C$9)))</f>
        <v>230.918108447262</v>
      </c>
      <c r="D17" s="28" t="n">
        <f aca="false">D16+C17</f>
        <v>2253.8708196288</v>
      </c>
      <c r="E17" s="29" t="n">
        <f aca="false">MAX(0,E16*(1-前提条件!$C$12)+C17*前提条件!$C$11-I17)</f>
        <v>543.767263632564</v>
      </c>
      <c r="F17" s="29" t="n">
        <f aca="false">F16*(1-前提条件!$C$15)+I17</f>
        <v>79.8087897665054</v>
      </c>
      <c r="G17" s="29" t="n">
        <f aca="false">E17+F17</f>
        <v>623.576053399069</v>
      </c>
      <c r="H17" s="30" t="n">
        <f aca="false">前提条件!$C$13*MIN(1,$A17/前提条件!$C$14)</f>
        <v>0.03</v>
      </c>
      <c r="I17" s="29" t="n">
        <f aca="false">E16*H17</f>
        <v>15.2157310197863</v>
      </c>
      <c r="J17" s="31" t="n">
        <f aca="false">F17*前提条件!$C$16</f>
        <v>43894.834371578</v>
      </c>
      <c r="K17" s="29" t="n">
        <f aca="false">IF($A17&lt;前提条件!$C$18,0,IF($A17&lt;=12,前提条件!$C$19,IF($A17&lt;=24,前提条件!$C$20,前提条件!$C$21)))</f>
        <v>0.3</v>
      </c>
      <c r="L17" s="29" t="n">
        <f aca="false">L16*(1-前提条件!$C$22)+K17</f>
        <v>1.62931657728</v>
      </c>
      <c r="M17" s="31" t="n">
        <f aca="false">L17*前提条件!$C$23</f>
        <v>3258.63315456</v>
      </c>
      <c r="N17" s="32" t="n">
        <f aca="false">J17+M17</f>
        <v>47153.467526138</v>
      </c>
      <c r="O17" s="31" t="n">
        <f aca="false">IF($A17&lt;=12,前提条件!$C$25,前提条件!$C$26)</f>
        <v>15000</v>
      </c>
      <c r="P17" s="31" t="n">
        <f aca="false">G17*前提条件!$C$27</f>
        <v>1870.72816019721</v>
      </c>
      <c r="Q17" s="31" t="n">
        <f aca="false">F17*前提条件!$C$28</f>
        <v>638.470318132043</v>
      </c>
      <c r="R17" s="31" t="n">
        <f aca="false">N17*前提条件!$C$30</f>
        <v>3772.27740209104</v>
      </c>
      <c r="S17" s="31" t="n">
        <f aca="false">IF($A17&lt;=12,前提条件!$C$31,IF($A17&lt;=24,前提条件!$C$32,前提条件!$C$33))</f>
        <v>30000</v>
      </c>
      <c r="T17" s="31" t="n">
        <f aca="false">IF(F17&gt;=前提条件!$C$34,前提条件!$C$35,0)</f>
        <v>0</v>
      </c>
      <c r="U17" s="31" t="n">
        <f aca="false">IF(L17&gt;=前提条件!$C$36,前提条件!$C$37,0)</f>
        <v>0</v>
      </c>
      <c r="V17" s="31" t="n">
        <f aca="false">(O17+P17+Q17+R17+S17+T17+U17)*前提条件!$C$38</f>
        <v>5128.14758804203</v>
      </c>
      <c r="W17" s="32" t="n">
        <f aca="false">O17+P17+Q17+R17+S17+T17+U17+V17</f>
        <v>56409.6234684623</v>
      </c>
      <c r="X17" s="32" t="n">
        <f aca="false">N17-W17</f>
        <v>-9256.15594232436</v>
      </c>
      <c r="Y17" s="32" t="n">
        <f aca="false">Y16+X17</f>
        <v>-424005.837597333</v>
      </c>
    </row>
    <row r="18" customFormat="false" ht="15" hidden="false" customHeight="false" outlineLevel="0" collapsed="false">
      <c r="A18" s="21" t="n">
        <v>13</v>
      </c>
      <c r="B18" s="22" t="n">
        <f aca="false">C18/前提条件!$C$10</f>
        <v>942.145882464828</v>
      </c>
      <c r="C18" s="22" t="n">
        <f aca="false">C17*(1+IF($A18&lt;=12,前提条件!$C$7,IF($A18&lt;=24,前提条件!$C$8,前提条件!$C$9)))</f>
        <v>235.536470616207</v>
      </c>
      <c r="D18" s="22" t="n">
        <f aca="false">D17+C18</f>
        <v>2489.40729024501</v>
      </c>
      <c r="E18" s="23" t="n">
        <f aca="false">MAX(0,E17*(1-前提条件!$C$12)+C18*前提条件!$C$11-I18)</f>
        <v>578.167452879465</v>
      </c>
      <c r="F18" s="23" t="n">
        <f aca="false">F17*(1-前提条件!$C$15)+I18</f>
        <v>92.131368187157</v>
      </c>
      <c r="G18" s="23" t="n">
        <f aca="false">E18+F18</f>
        <v>670.298821066622</v>
      </c>
      <c r="H18" s="24" t="n">
        <f aca="false">前提条件!$C$13*MIN(1,$A18/前提条件!$C$14)</f>
        <v>0.03</v>
      </c>
      <c r="I18" s="23" t="n">
        <f aca="false">E17*H18</f>
        <v>16.3130179089769</v>
      </c>
      <c r="J18" s="25" t="n">
        <f aca="false">F18*前提条件!$C$16</f>
        <v>50672.2525029364</v>
      </c>
      <c r="K18" s="23" t="n">
        <f aca="false">IF($A18&lt;前提条件!$C$18,0,IF($A18&lt;=12,前提条件!$C$19,IF($A18&lt;=24,前提条件!$C$20,前提条件!$C$21)))</f>
        <v>0.5</v>
      </c>
      <c r="L18" s="23" t="n">
        <f aca="false">L17*(1-前提条件!$C$22)+K18</f>
        <v>2.0641439141888</v>
      </c>
      <c r="M18" s="25" t="n">
        <f aca="false">L18*前提条件!$C$23</f>
        <v>4128.2878283776</v>
      </c>
      <c r="N18" s="26" t="n">
        <f aca="false">J18+M18</f>
        <v>54800.540331314</v>
      </c>
      <c r="O18" s="25" t="n">
        <f aca="false">IF($A18&lt;=12,前提条件!$C$25,前提条件!$C$26)</f>
        <v>25000</v>
      </c>
      <c r="P18" s="25" t="n">
        <f aca="false">G18*前提条件!$C$27</f>
        <v>2010.89646319987</v>
      </c>
      <c r="Q18" s="25" t="n">
        <f aca="false">F18*前提条件!$C$28</f>
        <v>737.050945497256</v>
      </c>
      <c r="R18" s="25" t="n">
        <f aca="false">N18*前提条件!$C$30</f>
        <v>4384.04322650512</v>
      </c>
      <c r="S18" s="25" t="n">
        <f aca="false">IF($A18&lt;=12,前提条件!$C$31,IF($A18&lt;=24,前提条件!$C$32,前提条件!$C$33))</f>
        <v>40000</v>
      </c>
      <c r="T18" s="25" t="n">
        <f aca="false">IF(F18&gt;=前提条件!$C$34,前提条件!$C$35,0)</f>
        <v>0</v>
      </c>
      <c r="U18" s="25" t="n">
        <f aca="false">IF(L18&gt;=前提条件!$C$36,前提条件!$C$37,0)</f>
        <v>0</v>
      </c>
      <c r="V18" s="25" t="n">
        <f aca="false">(O18+P18+Q18+R18+S18+T18+U18)*前提条件!$C$38</f>
        <v>7213.19906352022</v>
      </c>
      <c r="W18" s="26" t="n">
        <f aca="false">O18+P18+Q18+R18+S18+T18+U18+V18</f>
        <v>79345.1896987225</v>
      </c>
      <c r="X18" s="26" t="n">
        <f aca="false">N18-W18</f>
        <v>-24544.6493674085</v>
      </c>
      <c r="Y18" s="26" t="n">
        <f aca="false">Y17+X18</f>
        <v>-448550.486964741</v>
      </c>
    </row>
    <row r="19" customFormat="false" ht="15" hidden="false" customHeight="false" outlineLevel="0" collapsed="false">
      <c r="A19" s="21" t="n">
        <v>14</v>
      </c>
      <c r="B19" s="22" t="n">
        <f aca="false">C19/前提条件!$C$10</f>
        <v>960.988800114124</v>
      </c>
      <c r="C19" s="22" t="n">
        <f aca="false">C18*(1+IF($A19&lt;=12,前提条件!$C$7,IF($A19&lt;=24,前提条件!$C$8,前提条件!$C$9)))</f>
        <v>240.247200028531</v>
      </c>
      <c r="D19" s="22" t="n">
        <f aca="false">D18+C19</f>
        <v>2729.65449027354</v>
      </c>
      <c r="E19" s="23" t="n">
        <f aca="false">MAX(0,E18*(1-前提条件!$C$12)+C19*前提条件!$C$11-I19)</f>
        <v>610.667913074136</v>
      </c>
      <c r="F19" s="23" t="n">
        <f aca="false">F18*(1-前提条件!$C$15)+I19</f>
        <v>104.869823364183</v>
      </c>
      <c r="G19" s="23" t="n">
        <f aca="false">E19+F19</f>
        <v>715.537736438319</v>
      </c>
      <c r="H19" s="24" t="n">
        <f aca="false">前提条件!$C$13*MIN(1,$A19/前提条件!$C$14)</f>
        <v>0.03</v>
      </c>
      <c r="I19" s="23" t="n">
        <f aca="false">E18*H19</f>
        <v>17.3450235863839</v>
      </c>
      <c r="J19" s="25" t="n">
        <f aca="false">F19*前提条件!$C$16</f>
        <v>57678.4028503007</v>
      </c>
      <c r="K19" s="23" t="n">
        <f aca="false">IF($A19&lt;前提条件!$C$18,0,IF($A19&lt;=12,前提条件!$C$19,IF($A19&lt;=24,前提条件!$C$20,前提条件!$C$21)))</f>
        <v>0.5</v>
      </c>
      <c r="L19" s="23" t="n">
        <f aca="false">L18*(1-前提条件!$C$22)+K19</f>
        <v>2.48157815762125</v>
      </c>
      <c r="M19" s="25" t="n">
        <f aca="false">L19*前提条件!$C$23</f>
        <v>4963.1563152425</v>
      </c>
      <c r="N19" s="26" t="n">
        <f aca="false">J19+M19</f>
        <v>62641.5591655432</v>
      </c>
      <c r="O19" s="25" t="n">
        <f aca="false">IF($A19&lt;=12,前提条件!$C$25,前提条件!$C$26)</f>
        <v>25000</v>
      </c>
      <c r="P19" s="25" t="n">
        <f aca="false">G19*前提条件!$C$27</f>
        <v>2146.61320931496</v>
      </c>
      <c r="Q19" s="25" t="n">
        <f aca="false">F19*前提条件!$C$28</f>
        <v>838.958586913465</v>
      </c>
      <c r="R19" s="25" t="n">
        <f aca="false">N19*前提条件!$C$30</f>
        <v>5011.32473324346</v>
      </c>
      <c r="S19" s="25" t="n">
        <f aca="false">IF($A19&lt;=12,前提条件!$C$31,IF($A19&lt;=24,前提条件!$C$32,前提条件!$C$33))</f>
        <v>40000</v>
      </c>
      <c r="T19" s="25" t="n">
        <f aca="false">IF(F19&gt;=前提条件!$C$34,前提条件!$C$35,0)</f>
        <v>0</v>
      </c>
      <c r="U19" s="25" t="n">
        <f aca="false">IF(L19&gt;=前提条件!$C$36,前提条件!$C$37,0)</f>
        <v>0</v>
      </c>
      <c r="V19" s="25" t="n">
        <f aca="false">(O19+P19+Q19+R19+S19+T19+U19)*前提条件!$C$38</f>
        <v>7299.68965294719</v>
      </c>
      <c r="W19" s="26" t="n">
        <f aca="false">O19+P19+Q19+R19+S19+T19+U19+V19</f>
        <v>80296.5861824191</v>
      </c>
      <c r="X19" s="26" t="n">
        <f aca="false">N19-W19</f>
        <v>-17655.0270168759</v>
      </c>
      <c r="Y19" s="26" t="n">
        <f aca="false">Y18+X19</f>
        <v>-466205.513981617</v>
      </c>
    </row>
    <row r="20" customFormat="false" ht="15" hidden="false" customHeight="false" outlineLevel="0" collapsed="false">
      <c r="A20" s="21" t="n">
        <v>15</v>
      </c>
      <c r="B20" s="22" t="n">
        <f aca="false">C20/前提条件!$C$10</f>
        <v>980.208576116407</v>
      </c>
      <c r="C20" s="22" t="n">
        <f aca="false">C19*(1+IF($A20&lt;=12,前提条件!$C$7,IF($A20&lt;=24,前提条件!$C$8,前提条件!$C$9)))</f>
        <v>245.052144029102</v>
      </c>
      <c r="D20" s="22" t="n">
        <f aca="false">D19+C20</f>
        <v>2974.70663430264</v>
      </c>
      <c r="E20" s="23" t="n">
        <f aca="false">MAX(0,E19*(1-前提条件!$C$12)+C20*前提条件!$C$11-I20)</f>
        <v>641.515300247622</v>
      </c>
      <c r="F20" s="23" t="n">
        <f aca="false">F19*(1-前提条件!$C$15)+I20</f>
        <v>117.946369588198</v>
      </c>
      <c r="G20" s="23" t="n">
        <f aca="false">E20+F20</f>
        <v>759.46166983582</v>
      </c>
      <c r="H20" s="24" t="n">
        <f aca="false">前提条件!$C$13*MIN(1,$A20/前提条件!$C$14)</f>
        <v>0.03</v>
      </c>
      <c r="I20" s="23" t="n">
        <f aca="false">E19*H20</f>
        <v>18.3200373922241</v>
      </c>
      <c r="J20" s="25" t="n">
        <f aca="false">F20*前提条件!$C$16</f>
        <v>64870.5032735089</v>
      </c>
      <c r="K20" s="23" t="n">
        <f aca="false">IF($A20&lt;前提条件!$C$18,0,IF($A20&lt;=12,前提条件!$C$19,IF($A20&lt;=24,前提条件!$C$20,前提条件!$C$21)))</f>
        <v>0.5</v>
      </c>
      <c r="L20" s="23" t="n">
        <f aca="false">L19*(1-前提条件!$C$22)+K20</f>
        <v>2.8823150313164</v>
      </c>
      <c r="M20" s="25" t="n">
        <f aca="false">L20*前提条件!$C$23</f>
        <v>5764.6300626328</v>
      </c>
      <c r="N20" s="26" t="n">
        <f aca="false">J20+M20</f>
        <v>70635.1333361417</v>
      </c>
      <c r="O20" s="25" t="n">
        <f aca="false">IF($A20&lt;=12,前提条件!$C$25,前提条件!$C$26)</f>
        <v>25000</v>
      </c>
      <c r="P20" s="25" t="n">
        <f aca="false">G20*前提条件!$C$27</f>
        <v>2278.38500950746</v>
      </c>
      <c r="Q20" s="25" t="n">
        <f aca="false">F20*前提条件!$C$28</f>
        <v>943.570956705584</v>
      </c>
      <c r="R20" s="25" t="n">
        <f aca="false">N20*前提条件!$C$30</f>
        <v>5650.81066689134</v>
      </c>
      <c r="S20" s="25" t="n">
        <f aca="false">IF($A20&lt;=12,前提条件!$C$31,IF($A20&lt;=24,前提条件!$C$32,前提条件!$C$33))</f>
        <v>40000</v>
      </c>
      <c r="T20" s="25" t="n">
        <f aca="false">IF(F20&gt;=前提条件!$C$34,前提条件!$C$35,0)</f>
        <v>0</v>
      </c>
      <c r="U20" s="25" t="n">
        <f aca="false">IF(L20&gt;=前提条件!$C$36,前提条件!$C$37,0)</f>
        <v>0</v>
      </c>
      <c r="V20" s="25" t="n">
        <f aca="false">(O20+P20+Q20+R20+S20+T20+U20)*前提条件!$C$38</f>
        <v>7387.27666331044</v>
      </c>
      <c r="W20" s="26" t="n">
        <f aca="false">O20+P20+Q20+R20+S20+T20+U20+V20</f>
        <v>81260.0432964148</v>
      </c>
      <c r="X20" s="26" t="n">
        <f aca="false">N20-W20</f>
        <v>-10624.9099602731</v>
      </c>
      <c r="Y20" s="26" t="n">
        <f aca="false">Y19+X20</f>
        <v>-476830.42394189</v>
      </c>
    </row>
    <row r="21" customFormat="false" ht="15" hidden="false" customHeight="false" outlineLevel="0" collapsed="false">
      <c r="A21" s="21" t="n">
        <v>16</v>
      </c>
      <c r="B21" s="22" t="n">
        <f aca="false">C21/前提条件!$C$10</f>
        <v>999.812747638735</v>
      </c>
      <c r="C21" s="22" t="n">
        <f aca="false">C20*(1+IF($A21&lt;=12,前提条件!$C$7,IF($A21&lt;=24,前提条件!$C$8,前提条件!$C$9)))</f>
        <v>249.953186909684</v>
      </c>
      <c r="D21" s="22" t="n">
        <f aca="false">D20+C21</f>
        <v>3224.65982121233</v>
      </c>
      <c r="E21" s="23" t="n">
        <f aca="false">MAX(0,E20*(1-前提条件!$C$12)+C21*前提条件!$C$11-I21)</f>
        <v>670.929891984257</v>
      </c>
      <c r="F21" s="23" t="n">
        <f aca="false">F20*(1-前提条件!$C$15)+I21</f>
        <v>131.294510116217</v>
      </c>
      <c r="G21" s="23" t="n">
        <f aca="false">E21+F21</f>
        <v>802.224402100474</v>
      </c>
      <c r="H21" s="24" t="n">
        <f aca="false">前提条件!$C$13*MIN(1,$A21/前提条件!$C$14)</f>
        <v>0.03</v>
      </c>
      <c r="I21" s="23" t="n">
        <f aca="false">E20*H21</f>
        <v>19.2454590074287</v>
      </c>
      <c r="J21" s="25" t="n">
        <f aca="false">F21*前提条件!$C$16</f>
        <v>72211.9805639192</v>
      </c>
      <c r="K21" s="23" t="n">
        <f aca="false">IF($A21&lt;前提条件!$C$18,0,IF($A21&lt;=12,前提条件!$C$19,IF($A21&lt;=24,前提条件!$C$20,前提条件!$C$21)))</f>
        <v>0.5</v>
      </c>
      <c r="L21" s="23" t="n">
        <f aca="false">L20*(1-前提条件!$C$22)+K21</f>
        <v>3.26702243006374</v>
      </c>
      <c r="M21" s="25" t="n">
        <f aca="false">L21*前提条件!$C$23</f>
        <v>6534.04486012748</v>
      </c>
      <c r="N21" s="26" t="n">
        <f aca="false">J21+M21</f>
        <v>78746.0254240467</v>
      </c>
      <c r="O21" s="25" t="n">
        <f aca="false">IF($A21&lt;=12,前提条件!$C$25,前提条件!$C$26)</f>
        <v>25000</v>
      </c>
      <c r="P21" s="25" t="n">
        <f aca="false">G21*前提条件!$C$27</f>
        <v>2406.67320630142</v>
      </c>
      <c r="Q21" s="25" t="n">
        <f aca="false">F21*前提条件!$C$28</f>
        <v>1050.35608092973</v>
      </c>
      <c r="R21" s="25" t="n">
        <f aca="false">N21*前提条件!$C$30</f>
        <v>6299.68203392374</v>
      </c>
      <c r="S21" s="25" t="n">
        <f aca="false">IF($A21&lt;=12,前提条件!$C$31,IF($A21&lt;=24,前提条件!$C$32,前提条件!$C$33))</f>
        <v>40000</v>
      </c>
      <c r="T21" s="25" t="n">
        <f aca="false">IF(F21&gt;=前提条件!$C$34,前提条件!$C$35,0)</f>
        <v>0</v>
      </c>
      <c r="U21" s="25" t="n">
        <f aca="false">IF(L21&gt;=前提条件!$C$36,前提条件!$C$37,0)</f>
        <v>0</v>
      </c>
      <c r="V21" s="25" t="n">
        <f aca="false">(O21+P21+Q21+R21+S21+T21+U21)*前提条件!$C$38</f>
        <v>7475.67113211549</v>
      </c>
      <c r="W21" s="26" t="n">
        <f aca="false">O21+P21+Q21+R21+S21+T21+U21+V21</f>
        <v>82232.3824532704</v>
      </c>
      <c r="X21" s="26" t="n">
        <f aca="false">N21-W21</f>
        <v>-3486.35702922367</v>
      </c>
      <c r="Y21" s="26" t="n">
        <f aca="false">Y20+X21</f>
        <v>-480316.780971114</v>
      </c>
    </row>
    <row r="22" customFormat="false" ht="15" hidden="false" customHeight="false" outlineLevel="0" collapsed="false">
      <c r="A22" s="21" t="n">
        <v>17</v>
      </c>
      <c r="B22" s="22" t="n">
        <f aca="false">C22/前提条件!$C$10</f>
        <v>1019.80900259151</v>
      </c>
      <c r="C22" s="22" t="n">
        <f aca="false">C21*(1+IF($A22&lt;=12,前提条件!$C$7,IF($A22&lt;=24,前提条件!$C$8,前提条件!$C$9)))</f>
        <v>254.952250647877</v>
      </c>
      <c r="D22" s="22" t="n">
        <f aca="false">D21+C22</f>
        <v>3479.6120718602</v>
      </c>
      <c r="E22" s="23" t="n">
        <f aca="false">MAX(0,E21*(1-前提条件!$C$12)+C22*前提条件!$C$11-I22)</f>
        <v>699.10850412514</v>
      </c>
      <c r="F22" s="23" t="n">
        <f aca="false">F21*(1-前提条件!$C$15)+I22</f>
        <v>144.857681369934</v>
      </c>
      <c r="G22" s="23" t="n">
        <f aca="false">E22+F22</f>
        <v>843.966185495073</v>
      </c>
      <c r="H22" s="24" t="n">
        <f aca="false">前提条件!$C$13*MIN(1,$A22/前提条件!$C$14)</f>
        <v>0.03</v>
      </c>
      <c r="I22" s="23" t="n">
        <f aca="false">E21*H22</f>
        <v>20.1278967595277</v>
      </c>
      <c r="J22" s="25" t="n">
        <f aca="false">F22*前提条件!$C$16</f>
        <v>79671.7247534635</v>
      </c>
      <c r="K22" s="23" t="n">
        <f aca="false">IF($A22&lt;前提条件!$C$18,0,IF($A22&lt;=12,前提条件!$C$19,IF($A22&lt;=24,前提条件!$C$20,前提条件!$C$21)))</f>
        <v>0.5</v>
      </c>
      <c r="L22" s="23" t="n">
        <f aca="false">L21*(1-前提条件!$C$22)+K22</f>
        <v>3.63634153286119</v>
      </c>
      <c r="M22" s="25" t="n">
        <f aca="false">L22*前提条件!$C$23</f>
        <v>7272.68306572238</v>
      </c>
      <c r="N22" s="26" t="n">
        <f aca="false">J22+M22</f>
        <v>86944.4078191859</v>
      </c>
      <c r="O22" s="25" t="n">
        <f aca="false">IF($A22&lt;=12,前提条件!$C$25,前提条件!$C$26)</f>
        <v>25000</v>
      </c>
      <c r="P22" s="25" t="n">
        <f aca="false">G22*前提条件!$C$27</f>
        <v>2531.89855648522</v>
      </c>
      <c r="Q22" s="25" t="n">
        <f aca="false">F22*前提条件!$C$28</f>
        <v>1158.86145095947</v>
      </c>
      <c r="R22" s="25" t="n">
        <f aca="false">N22*前提条件!$C$30</f>
        <v>6955.55262553487</v>
      </c>
      <c r="S22" s="25" t="n">
        <f aca="false">IF($A22&lt;=12,前提条件!$C$31,IF($A22&lt;=24,前提条件!$C$32,前提条件!$C$33))</f>
        <v>40000</v>
      </c>
      <c r="T22" s="25" t="n">
        <f aca="false">IF(F22&gt;=前提条件!$C$34,前提条件!$C$35,0)</f>
        <v>0</v>
      </c>
      <c r="U22" s="25" t="n">
        <f aca="false">IF(L22&gt;=前提条件!$C$36,前提条件!$C$37,0)</f>
        <v>0</v>
      </c>
      <c r="V22" s="25" t="n">
        <f aca="false">(O22+P22+Q22+R22+S22+T22+U22)*前提条件!$C$38</f>
        <v>7564.63126329796</v>
      </c>
      <c r="W22" s="26" t="n">
        <f aca="false">O22+P22+Q22+R22+S22+T22+U22+V22</f>
        <v>83210.9438962775</v>
      </c>
      <c r="X22" s="26" t="n">
        <f aca="false">N22-W22</f>
        <v>3733.46392290838</v>
      </c>
      <c r="Y22" s="26" t="n">
        <f aca="false">Y21+X22</f>
        <v>-476583.317048205</v>
      </c>
    </row>
    <row r="23" customFormat="false" ht="15" hidden="false" customHeight="false" outlineLevel="0" collapsed="false">
      <c r="A23" s="21" t="n">
        <v>18</v>
      </c>
      <c r="B23" s="22" t="n">
        <f aca="false">C23/前提条件!$C$10</f>
        <v>1040.20518264334</v>
      </c>
      <c r="C23" s="22" t="n">
        <f aca="false">C22*(1+IF($A23&lt;=12,前提条件!$C$7,IF($A23&lt;=24,前提条件!$C$8,前提条件!$C$9)))</f>
        <v>260.051295660835</v>
      </c>
      <c r="D23" s="22" t="n">
        <f aca="false">D22+C23</f>
        <v>3739.66336752104</v>
      </c>
      <c r="E23" s="23" t="n">
        <f aca="false">MAX(0,E22*(1-前提条件!$C$12)+C23*前提条件!$C$11-I23)</f>
        <v>726.227086935709</v>
      </c>
      <c r="F23" s="23" t="n">
        <f aca="false">F22*(1-前提条件!$C$15)+I23</f>
        <v>158.588052425191</v>
      </c>
      <c r="G23" s="23" t="n">
        <f aca="false">E23+F23</f>
        <v>884.8151393609</v>
      </c>
      <c r="H23" s="24" t="n">
        <f aca="false">前提条件!$C$13*MIN(1,$A23/前提条件!$C$14)</f>
        <v>0.03</v>
      </c>
      <c r="I23" s="23" t="n">
        <f aca="false">E22*H23</f>
        <v>20.9732551237542</v>
      </c>
      <c r="J23" s="25" t="n">
        <f aca="false">F23*前提条件!$C$16</f>
        <v>87223.4288338551</v>
      </c>
      <c r="K23" s="23" t="n">
        <f aca="false">IF($A23&lt;前提条件!$C$18,0,IF($A23&lt;=12,前提条件!$C$19,IF($A23&lt;=24,前提条件!$C$20,前提条件!$C$21)))</f>
        <v>0.5</v>
      </c>
      <c r="L23" s="23" t="n">
        <f aca="false">L22*(1-前提条件!$C$22)+K23</f>
        <v>3.99088787154674</v>
      </c>
      <c r="M23" s="25" t="n">
        <f aca="false">L23*前提条件!$C$23</f>
        <v>7981.77574309349</v>
      </c>
      <c r="N23" s="26" t="n">
        <f aca="false">J23+M23</f>
        <v>95205.2045769486</v>
      </c>
      <c r="O23" s="25" t="n">
        <f aca="false">IF($A23&lt;=12,前提条件!$C$25,前提条件!$C$26)</f>
        <v>25000</v>
      </c>
      <c r="P23" s="25" t="n">
        <f aca="false">G23*前提条件!$C$27</f>
        <v>2654.4454180827</v>
      </c>
      <c r="Q23" s="25" t="n">
        <f aca="false">F23*前提条件!$C$28</f>
        <v>1268.70441940153</v>
      </c>
      <c r="R23" s="25" t="n">
        <f aca="false">N23*前提条件!$C$30</f>
        <v>7616.41636615589</v>
      </c>
      <c r="S23" s="25" t="n">
        <f aca="false">IF($A23&lt;=12,前提条件!$C$31,IF($A23&lt;=24,前提条件!$C$32,前提条件!$C$33))</f>
        <v>40000</v>
      </c>
      <c r="T23" s="25" t="n">
        <f aca="false">IF(F23&gt;=前提条件!$C$34,前提条件!$C$35,0)</f>
        <v>0</v>
      </c>
      <c r="U23" s="25" t="n">
        <f aca="false">IF(L23&gt;=前提条件!$C$36,前提条件!$C$37,0)</f>
        <v>0</v>
      </c>
      <c r="V23" s="25" t="n">
        <f aca="false">(O23+P23+Q23+R23+S23+T23+U23)*前提条件!$C$38</f>
        <v>7653.95662036401</v>
      </c>
      <c r="W23" s="26" t="n">
        <f aca="false">O23+P23+Q23+R23+S23+T23+U23+V23</f>
        <v>84193.5228240041</v>
      </c>
      <c r="X23" s="26" t="n">
        <f aca="false">N23-W23</f>
        <v>11011.6817529445</v>
      </c>
      <c r="Y23" s="26" t="n">
        <f aca="false">Y22+X23</f>
        <v>-465571.635295261</v>
      </c>
    </row>
    <row r="24" customFormat="false" ht="15" hidden="false" customHeight="false" outlineLevel="0" collapsed="false">
      <c r="A24" s="21" t="n">
        <v>19</v>
      </c>
      <c r="B24" s="22" t="n">
        <f aca="false">C24/前提条件!$C$10</f>
        <v>1061.00928629621</v>
      </c>
      <c r="C24" s="22" t="n">
        <f aca="false">C23*(1+IF($A24&lt;=12,前提条件!$C$7,IF($A24&lt;=24,前提条件!$C$8,前提条件!$C$9)))</f>
        <v>265.252321574052</v>
      </c>
      <c r="D24" s="22" t="n">
        <f aca="false">D23+C24</f>
        <v>4004.91568909509</v>
      </c>
      <c r="E24" s="23" t="n">
        <f aca="false">MAX(0,E23*(1-前提条件!$C$12)+C24*前提条件!$C$11-I24)</f>
        <v>752.443036002401</v>
      </c>
      <c r="F24" s="23" t="n">
        <f aca="false">F23*(1-前提条件!$C$15)+I24</f>
        <v>172.445462412003</v>
      </c>
      <c r="G24" s="23" t="n">
        <f aca="false">E24+F24</f>
        <v>924.888498414404</v>
      </c>
      <c r="H24" s="24" t="n">
        <f aca="false">前提条件!$C$13*MIN(1,$A24/前提条件!$C$14)</f>
        <v>0.03</v>
      </c>
      <c r="I24" s="23" t="n">
        <f aca="false">E23*H24</f>
        <v>21.7868126080713</v>
      </c>
      <c r="J24" s="25" t="n">
        <f aca="false">F24*前提条件!$C$16</f>
        <v>94845.0043266016</v>
      </c>
      <c r="K24" s="23" t="n">
        <f aca="false">IF($A24&lt;前提条件!$C$18,0,IF($A24&lt;=12,前提条件!$C$19,IF($A24&lt;=24,前提条件!$C$20,前提条件!$C$21)))</f>
        <v>0.5</v>
      </c>
      <c r="L24" s="23" t="n">
        <f aca="false">L23*(1-前提条件!$C$22)+K24</f>
        <v>4.33125235668488</v>
      </c>
      <c r="M24" s="25" t="n">
        <f aca="false">L24*前提条件!$C$23</f>
        <v>8662.50471336975</v>
      </c>
      <c r="N24" s="26" t="n">
        <f aca="false">J24+M24</f>
        <v>103507.509039971</v>
      </c>
      <c r="O24" s="25" t="n">
        <f aca="false">IF($A24&lt;=12,前提条件!$C$25,前提条件!$C$26)</f>
        <v>25000</v>
      </c>
      <c r="P24" s="25" t="n">
        <f aca="false">G24*前提条件!$C$27</f>
        <v>2774.66549524321</v>
      </c>
      <c r="Q24" s="25" t="n">
        <f aca="false">F24*前提条件!$C$28</f>
        <v>1379.56369929602</v>
      </c>
      <c r="R24" s="25" t="n">
        <f aca="false">N24*前提条件!$C$30</f>
        <v>8280.60072319771</v>
      </c>
      <c r="S24" s="25" t="n">
        <f aca="false">IF($A24&lt;=12,前提条件!$C$31,IF($A24&lt;=24,前提条件!$C$32,前提条件!$C$33))</f>
        <v>40000</v>
      </c>
      <c r="T24" s="25" t="n">
        <f aca="false">IF(F24&gt;=前提条件!$C$34,前提条件!$C$35,0)</f>
        <v>0</v>
      </c>
      <c r="U24" s="25" t="n">
        <f aca="false">IF(L24&gt;=前提条件!$C$36,前提条件!$C$37,0)</f>
        <v>0</v>
      </c>
      <c r="V24" s="25" t="n">
        <f aca="false">(O24+P24+Q24+R24+S24+T24+U24)*前提条件!$C$38</f>
        <v>7743.48299177369</v>
      </c>
      <c r="W24" s="26" t="n">
        <f aca="false">O24+P24+Q24+R24+S24+T24+U24+V24</f>
        <v>85178.3129095106</v>
      </c>
      <c r="X24" s="26" t="n">
        <f aca="false">N24-W24</f>
        <v>18329.1961304607</v>
      </c>
      <c r="Y24" s="26" t="n">
        <f aca="false">Y23+X24</f>
        <v>-447242.4391648</v>
      </c>
    </row>
    <row r="25" customFormat="false" ht="15" hidden="false" customHeight="false" outlineLevel="0" collapsed="false">
      <c r="A25" s="21" t="n">
        <v>20</v>
      </c>
      <c r="B25" s="22" t="n">
        <f aca="false">C25/前提条件!$C$10</f>
        <v>1082.22947202213</v>
      </c>
      <c r="C25" s="22" t="n">
        <f aca="false">C24*(1+IF($A25&lt;=12,前提条件!$C$7,IF($A25&lt;=24,前提条件!$C$8,前提条件!$C$9)))</f>
        <v>270.557368005533</v>
      </c>
      <c r="D25" s="22" t="n">
        <f aca="false">D24+C25</f>
        <v>4275.47305710062</v>
      </c>
      <c r="E25" s="23" t="n">
        <f aca="false">MAX(0,E24*(1-前提条件!$C$12)+C25*前提条件!$C$11-I25)</f>
        <v>777.89724924435</v>
      </c>
      <c r="F25" s="23" t="n">
        <f aca="false">F24*(1-前提条件!$C$15)+I25</f>
        <v>186.396480371475</v>
      </c>
      <c r="G25" s="23" t="n">
        <f aca="false">E25+F25</f>
        <v>964.293729615825</v>
      </c>
      <c r="H25" s="24" t="n">
        <f aca="false">前提条件!$C$13*MIN(1,$A25/前提条件!$C$14)</f>
        <v>0.03</v>
      </c>
      <c r="I25" s="23" t="n">
        <f aca="false">E24*H25</f>
        <v>22.573291080072</v>
      </c>
      <c r="J25" s="25" t="n">
        <f aca="false">F25*前提条件!$C$16</f>
        <v>102518.064204311</v>
      </c>
      <c r="K25" s="23" t="n">
        <f aca="false">IF($A25&lt;前提条件!$C$18,0,IF($A25&lt;=12,前提条件!$C$19,IF($A25&lt;=24,前提条件!$C$20,前提条件!$C$21)))</f>
        <v>0.5</v>
      </c>
      <c r="L25" s="23" t="n">
        <f aca="false">L24*(1-前提条件!$C$22)+K25</f>
        <v>4.65800226241748</v>
      </c>
      <c r="M25" s="25" t="n">
        <f aca="false">L25*前提条件!$C$23</f>
        <v>9316.00452483496</v>
      </c>
      <c r="N25" s="26" t="n">
        <f aca="false">J25+M25</f>
        <v>111834.068729146</v>
      </c>
      <c r="O25" s="25" t="n">
        <f aca="false">IF($A25&lt;=12,前提条件!$C$25,前提条件!$C$26)</f>
        <v>25000</v>
      </c>
      <c r="P25" s="25" t="n">
        <f aca="false">G25*前提条件!$C$27</f>
        <v>2892.88118884747</v>
      </c>
      <c r="Q25" s="25" t="n">
        <f aca="false">F25*前提条件!$C$28</f>
        <v>1491.1718429718</v>
      </c>
      <c r="R25" s="25" t="n">
        <f aca="false">N25*前提条件!$C$30</f>
        <v>8946.72549833169</v>
      </c>
      <c r="S25" s="25" t="n">
        <f aca="false">IF($A25&lt;=12,前提条件!$C$31,IF($A25&lt;=24,前提条件!$C$32,前提条件!$C$33))</f>
        <v>40000</v>
      </c>
      <c r="T25" s="25" t="n">
        <f aca="false">IF(F25&gt;=前提条件!$C$34,前提条件!$C$35,0)</f>
        <v>0</v>
      </c>
      <c r="U25" s="25" t="n">
        <f aca="false">IF(L25&gt;=前提条件!$C$36,前提条件!$C$37,0)</f>
        <v>0</v>
      </c>
      <c r="V25" s="25" t="n">
        <f aca="false">(O25+P25+Q25+R25+S25+T25+U25)*前提条件!$C$38</f>
        <v>7833.0778530151</v>
      </c>
      <c r="W25" s="26" t="n">
        <f aca="false">O25+P25+Q25+R25+S25+T25+U25+V25</f>
        <v>86163.8563831661</v>
      </c>
      <c r="X25" s="26" t="n">
        <f aca="false">N25-W25</f>
        <v>25670.21234598</v>
      </c>
      <c r="Y25" s="26" t="n">
        <f aca="false">Y24+X25</f>
        <v>-421572.22681882</v>
      </c>
    </row>
    <row r="26" customFormat="false" ht="15" hidden="false" customHeight="false" outlineLevel="0" collapsed="false">
      <c r="A26" s="21" t="n">
        <v>21</v>
      </c>
      <c r="B26" s="22" t="n">
        <f aca="false">C26/前提条件!$C$10</f>
        <v>1103.87406146257</v>
      </c>
      <c r="C26" s="22" t="n">
        <f aca="false">C25*(1+IF($A26&lt;=12,前提条件!$C$7,IF($A26&lt;=24,前提条件!$C$8,前提条件!$C$9)))</f>
        <v>275.968515365643</v>
      </c>
      <c r="D26" s="22" t="n">
        <f aca="false">D25+C26</f>
        <v>4551.44157246627</v>
      </c>
      <c r="E26" s="23" t="n">
        <f aca="false">MAX(0,E25*(1-前提条件!$C$12)+C26*前提条件!$C$11-I26)</f>
        <v>802.715957973729</v>
      </c>
      <c r="F26" s="23" t="n">
        <f aca="false">F25*(1-前提条件!$C$15)+I26</f>
        <v>200.413573830232</v>
      </c>
      <c r="G26" s="23" t="n">
        <f aca="false">E26+F26</f>
        <v>1003.12953180396</v>
      </c>
      <c r="H26" s="24" t="n">
        <f aca="false">前提条件!$C$13*MIN(1,$A26/前提条件!$C$14)</f>
        <v>0.03</v>
      </c>
      <c r="I26" s="23" t="n">
        <f aca="false">E25*H26</f>
        <v>23.3369174773305</v>
      </c>
      <c r="J26" s="25" t="n">
        <f aca="false">F26*前提条件!$C$16</f>
        <v>110227.465606627</v>
      </c>
      <c r="K26" s="23" t="n">
        <f aca="false">IF($A26&lt;前提条件!$C$18,0,IF($A26&lt;=12,前提条件!$C$19,IF($A26&lt;=24,前提条件!$C$20,前提条件!$C$21)))</f>
        <v>0.5</v>
      </c>
      <c r="L26" s="23" t="n">
        <f aca="false">L25*(1-前提条件!$C$22)+K26</f>
        <v>4.97168217192078</v>
      </c>
      <c r="M26" s="25" t="n">
        <f aca="false">L26*前提条件!$C$23</f>
        <v>9943.36434384156</v>
      </c>
      <c r="N26" s="26" t="n">
        <f aca="false">J26+M26</f>
        <v>120170.829950469</v>
      </c>
      <c r="O26" s="25" t="n">
        <f aca="false">IF($A26&lt;=12,前提条件!$C$25,前提条件!$C$26)</f>
        <v>25000</v>
      </c>
      <c r="P26" s="25" t="n">
        <f aca="false">G26*前提条件!$C$27</f>
        <v>3009.38859541188</v>
      </c>
      <c r="Q26" s="25" t="n">
        <f aca="false">F26*前提条件!$C$28</f>
        <v>1603.30859064185</v>
      </c>
      <c r="R26" s="25" t="n">
        <f aca="false">N26*前提条件!$C$30</f>
        <v>9613.66639603751</v>
      </c>
      <c r="S26" s="25" t="n">
        <f aca="false">IF($A26&lt;=12,前提条件!$C$31,IF($A26&lt;=24,前提条件!$C$32,前提条件!$C$33))</f>
        <v>40000</v>
      </c>
      <c r="T26" s="25" t="n">
        <f aca="false">IF(F26&gt;=前提条件!$C$34,前提条件!$C$35,0)</f>
        <v>0</v>
      </c>
      <c r="U26" s="25" t="n">
        <f aca="false">IF(L26&gt;=前提条件!$C$36,前提条件!$C$37,0)</f>
        <v>0</v>
      </c>
      <c r="V26" s="25" t="n">
        <f aca="false">(O26+P26+Q26+R26+S26+T26+U26)*前提条件!$C$38</f>
        <v>7922.63635820913</v>
      </c>
      <c r="W26" s="26" t="n">
        <f aca="false">O26+P26+Q26+R26+S26+T26+U26+V26</f>
        <v>87148.9999403004</v>
      </c>
      <c r="X26" s="26" t="n">
        <f aca="false">N26-W26</f>
        <v>33021.8300101685</v>
      </c>
      <c r="Y26" s="26" t="n">
        <f aca="false">Y25+X26</f>
        <v>-388550.396808652</v>
      </c>
    </row>
    <row r="27" customFormat="false" ht="15" hidden="false" customHeight="false" outlineLevel="0" collapsed="false">
      <c r="A27" s="21" t="n">
        <v>22</v>
      </c>
      <c r="B27" s="22" t="n">
        <f aca="false">C27/前提条件!$C$10</f>
        <v>1125.95154269183</v>
      </c>
      <c r="C27" s="22" t="n">
        <f aca="false">C26*(1+IF($A27&lt;=12,前提条件!$C$7,IF($A27&lt;=24,前提条件!$C$8,前提条件!$C$9)))</f>
        <v>281.487885672956</v>
      </c>
      <c r="D27" s="22" t="n">
        <f aca="false">D26+C27</f>
        <v>4832.92945813922</v>
      </c>
      <c r="E27" s="23" t="n">
        <f aca="false">MAX(0,E26*(1-前提条件!$C$12)+C27*前提条件!$C$11-I27)</f>
        <v>827.012356865801</v>
      </c>
      <c r="F27" s="23" t="n">
        <f aca="false">F26*(1-前提条件!$C$15)+I27</f>
        <v>214.474373877932</v>
      </c>
      <c r="G27" s="23" t="n">
        <f aca="false">E27+F27</f>
        <v>1041.48673074373</v>
      </c>
      <c r="H27" s="24" t="n">
        <f aca="false">前提条件!$C$13*MIN(1,$A27/前提条件!$C$14)</f>
        <v>0.03</v>
      </c>
      <c r="I27" s="23" t="n">
        <f aca="false">E26*H27</f>
        <v>24.0814787392119</v>
      </c>
      <c r="J27" s="25" t="n">
        <f aca="false">F27*前提条件!$C$16</f>
        <v>117960.905632862</v>
      </c>
      <c r="K27" s="23" t="n">
        <f aca="false">IF($A27&lt;前提条件!$C$18,0,IF($A27&lt;=12,前提条件!$C$19,IF($A27&lt;=24,前提条件!$C$20,前提条件!$C$21)))</f>
        <v>0.5</v>
      </c>
      <c r="L27" s="23" t="n">
        <f aca="false">L26*(1-前提条件!$C$22)+K27</f>
        <v>5.27281488504395</v>
      </c>
      <c r="M27" s="25" t="n">
        <f aca="false">L27*前提条件!$C$23</f>
        <v>10545.6297700879</v>
      </c>
      <c r="N27" s="26" t="n">
        <f aca="false">J27+M27</f>
        <v>128506.53540295</v>
      </c>
      <c r="O27" s="25" t="n">
        <f aca="false">IF($A27&lt;=12,前提条件!$C$25,前提条件!$C$26)</f>
        <v>25000</v>
      </c>
      <c r="P27" s="25" t="n">
        <f aca="false">G27*前提条件!$C$27</f>
        <v>3124.4601922312</v>
      </c>
      <c r="Q27" s="25" t="n">
        <f aca="false">F27*前提条件!$C$28</f>
        <v>1715.79499102345</v>
      </c>
      <c r="R27" s="25" t="n">
        <f aca="false">N27*前提条件!$C$30</f>
        <v>10280.522832236</v>
      </c>
      <c r="S27" s="25" t="n">
        <f aca="false">IF($A27&lt;=12,前提条件!$C$31,IF($A27&lt;=24,前提条件!$C$32,前提条件!$C$33))</f>
        <v>40000</v>
      </c>
      <c r="T27" s="25" t="n">
        <f aca="false">IF(F27&gt;=前提条件!$C$34,前提条件!$C$35,0)</f>
        <v>0</v>
      </c>
      <c r="U27" s="25" t="n">
        <f aca="false">IF(L27&gt;=前提条件!$C$36,前提条件!$C$37,0)</f>
        <v>0</v>
      </c>
      <c r="V27" s="25" t="n">
        <f aca="false">(O27+P27+Q27+R27+S27+T27+U27)*前提条件!$C$38</f>
        <v>8012.07780154907</v>
      </c>
      <c r="W27" s="26" t="n">
        <f aca="false">O27+P27+Q27+R27+S27+T27+U27+V27</f>
        <v>88132.8558170397</v>
      </c>
      <c r="X27" s="26" t="n">
        <f aca="false">N27-W27</f>
        <v>40373.6795859106</v>
      </c>
      <c r="Y27" s="26" t="n">
        <f aca="false">Y26+X27</f>
        <v>-348176.717222741</v>
      </c>
    </row>
    <row r="28" customFormat="false" ht="15" hidden="false" customHeight="false" outlineLevel="0" collapsed="false">
      <c r="A28" s="21" t="n">
        <v>23</v>
      </c>
      <c r="B28" s="22" t="n">
        <f aca="false">C28/前提条件!$C$10</f>
        <v>1148.47057354566</v>
      </c>
      <c r="C28" s="22" t="n">
        <f aca="false">C27*(1+IF($A28&lt;=12,前提条件!$C$7,IF($A28&lt;=24,前提条件!$C$8,前提条件!$C$9)))</f>
        <v>287.117643386415</v>
      </c>
      <c r="D28" s="22" t="n">
        <f aca="false">D27+C28</f>
        <v>5120.04710152564</v>
      </c>
      <c r="E28" s="23" t="n">
        <f aca="false">MAX(0,E27*(1-前提条件!$C$12)+C28*前提条件!$C$11-I28)</f>
        <v>850.888054965129</v>
      </c>
      <c r="F28" s="23" t="n">
        <f aca="false">F27*(1-前提条件!$C$15)+I28</f>
        <v>228.561025890009</v>
      </c>
      <c r="G28" s="23" t="n">
        <f aca="false">E28+F28</f>
        <v>1079.44908085514</v>
      </c>
      <c r="H28" s="24" t="n">
        <f aca="false">前提条件!$C$13*MIN(1,$A28/前提条件!$C$14)</f>
        <v>0.03</v>
      </c>
      <c r="I28" s="23" t="n">
        <f aca="false">E27*H28</f>
        <v>24.810370705974</v>
      </c>
      <c r="J28" s="25" t="n">
        <f aca="false">F28*前提条件!$C$16</f>
        <v>125708.564239505</v>
      </c>
      <c r="K28" s="23" t="n">
        <f aca="false">IF($A28&lt;前提条件!$C$18,0,IF($A28&lt;=12,前提条件!$C$19,IF($A28&lt;=24,前提条件!$C$20,前提条件!$C$21)))</f>
        <v>0.5</v>
      </c>
      <c r="L28" s="23" t="n">
        <f aca="false">L27*(1-前提条件!$C$22)+K28</f>
        <v>5.56190228964219</v>
      </c>
      <c r="M28" s="25" t="n">
        <f aca="false">L28*前提条件!$C$23</f>
        <v>11123.8045792844</v>
      </c>
      <c r="N28" s="26" t="n">
        <f aca="false">J28+M28</f>
        <v>136832.368818789</v>
      </c>
      <c r="O28" s="25" t="n">
        <f aca="false">IF($A28&lt;=12,前提条件!$C$25,前提条件!$C$26)</f>
        <v>25000</v>
      </c>
      <c r="P28" s="25" t="n">
        <f aca="false">G28*前提条件!$C$27</f>
        <v>3238.34724256542</v>
      </c>
      <c r="Q28" s="25" t="n">
        <f aca="false">F28*前提条件!$C$28</f>
        <v>1828.48820712007</v>
      </c>
      <c r="R28" s="25" t="n">
        <f aca="false">N28*前提条件!$C$30</f>
        <v>10946.5895055032</v>
      </c>
      <c r="S28" s="25" t="n">
        <f aca="false">IF($A28&lt;=12,前提条件!$C$31,IF($A28&lt;=24,前提条件!$C$32,前提条件!$C$33))</f>
        <v>40000</v>
      </c>
      <c r="T28" s="25" t="n">
        <f aca="false">IF(F28&gt;=前提条件!$C$34,前提条件!$C$35,0)</f>
        <v>0</v>
      </c>
      <c r="U28" s="25" t="n">
        <f aca="false">IF(L28&gt;=前提条件!$C$36,前提条件!$C$37,0)</f>
        <v>0</v>
      </c>
      <c r="V28" s="25" t="n">
        <f aca="false">(O28+P28+Q28+R28+S28+T28+U28)*前提条件!$C$38</f>
        <v>8101.34249551887</v>
      </c>
      <c r="W28" s="26" t="n">
        <f aca="false">O28+P28+Q28+R28+S28+T28+U28+V28</f>
        <v>89114.7674507075</v>
      </c>
      <c r="X28" s="26" t="n">
        <f aca="false">N28-W28</f>
        <v>47717.6013680819</v>
      </c>
      <c r="Y28" s="26" t="n">
        <f aca="false">Y27+X28</f>
        <v>-300459.115854659</v>
      </c>
    </row>
    <row r="29" customFormat="false" ht="15" hidden="false" customHeight="false" outlineLevel="0" collapsed="false">
      <c r="A29" s="27" t="n">
        <v>24</v>
      </c>
      <c r="B29" s="28" t="n">
        <f aca="false">C29/前提条件!$C$10</f>
        <v>1171.43998501657</v>
      </c>
      <c r="C29" s="28" t="n">
        <f aca="false">C28*(1+IF($A29&lt;=12,前提条件!$C$7,IF($A29&lt;=24,前提条件!$C$8,前提条件!$C$9)))</f>
        <v>292.859996254144</v>
      </c>
      <c r="D29" s="28" t="n">
        <f aca="false">D28+C29</f>
        <v>5412.90709777978</v>
      </c>
      <c r="E29" s="29" t="n">
        <f aca="false">MAX(0,E28*(1-前提条件!$C$12)+C29*前提条件!$C$11-I29)</f>
        <v>874.434367420623</v>
      </c>
      <c r="F29" s="29" t="n">
        <f aca="false">F28*(1-前提条件!$C$15)+I29</f>
        <v>242.659616244463</v>
      </c>
      <c r="G29" s="29" t="n">
        <f aca="false">E29+F29</f>
        <v>1117.09398366509</v>
      </c>
      <c r="H29" s="30" t="n">
        <f aca="false">前提条件!$C$13*MIN(1,$A29/前提条件!$C$14)</f>
        <v>0.03</v>
      </c>
      <c r="I29" s="29" t="n">
        <f aca="false">E28*H29</f>
        <v>25.5266416489539</v>
      </c>
      <c r="J29" s="31" t="n">
        <f aca="false">F29*前提条件!$C$16</f>
        <v>133462.788934454</v>
      </c>
      <c r="K29" s="29" t="n">
        <f aca="false">IF($A29&lt;前提条件!$C$18,0,IF($A29&lt;=12,前提条件!$C$19,IF($A29&lt;=24,前提条件!$C$20,前提条件!$C$21)))</f>
        <v>0.5</v>
      </c>
      <c r="L29" s="29" t="n">
        <f aca="false">L28*(1-前提条件!$C$22)+K29</f>
        <v>5.8394261980565</v>
      </c>
      <c r="M29" s="31" t="n">
        <f aca="false">L29*前提条件!$C$23</f>
        <v>11678.852396113</v>
      </c>
      <c r="N29" s="32" t="n">
        <f aca="false">J29+M29</f>
        <v>145141.641330567</v>
      </c>
      <c r="O29" s="31" t="n">
        <f aca="false">IF($A29&lt;=12,前提条件!$C$25,前提条件!$C$26)</f>
        <v>25000</v>
      </c>
      <c r="P29" s="31" t="n">
        <f aca="false">G29*前提条件!$C$27</f>
        <v>3351.28195099526</v>
      </c>
      <c r="Q29" s="31" t="n">
        <f aca="false">F29*前提条件!$C$28</f>
        <v>1941.2769299557</v>
      </c>
      <c r="R29" s="31" t="n">
        <f aca="false">N29*前提条件!$C$30</f>
        <v>11611.3313064454</v>
      </c>
      <c r="S29" s="31" t="n">
        <f aca="false">IF($A29&lt;=12,前提条件!$C$31,IF($A29&lt;=24,前提条件!$C$32,前提条件!$C$33))</f>
        <v>40000</v>
      </c>
      <c r="T29" s="31" t="n">
        <f aca="false">IF(F29&gt;=前提条件!$C$34,前提条件!$C$35,0)</f>
        <v>0</v>
      </c>
      <c r="U29" s="31" t="n">
        <f aca="false">IF(L29&gt;=前提条件!$C$36,前提条件!$C$37,0)</f>
        <v>0</v>
      </c>
      <c r="V29" s="31" t="n">
        <f aca="false">(O29+P29+Q29+R29+S29+T29+U29)*前提条件!$C$38</f>
        <v>8190.38901873964</v>
      </c>
      <c r="W29" s="32" t="n">
        <f aca="false">O29+P29+Q29+R29+S29+T29+U29+V29</f>
        <v>90094.279206136</v>
      </c>
      <c r="X29" s="32" t="n">
        <f aca="false">N29-W29</f>
        <v>55047.3621244315</v>
      </c>
      <c r="Y29" s="32" t="n">
        <f aca="false">Y28+X29</f>
        <v>-245411.753730228</v>
      </c>
    </row>
    <row r="30" customFormat="false" ht="15" hidden="false" customHeight="false" outlineLevel="0" collapsed="false">
      <c r="A30" s="21" t="n">
        <v>25</v>
      </c>
      <c r="B30" s="22" t="n">
        <f aca="false">C30/前提条件!$C$10</f>
        <v>1183.15438486674</v>
      </c>
      <c r="C30" s="22" t="n">
        <f aca="false">C29*(1+IF($A30&lt;=12,前提条件!$C$7,IF($A30&lt;=24,前提条件!$C$8,前提条件!$C$9)))</f>
        <v>295.788596216685</v>
      </c>
      <c r="D30" s="22" t="n">
        <f aca="false">D29+C30</f>
        <v>5708.69569399647</v>
      </c>
      <c r="E30" s="23" t="n">
        <f aca="false">MAX(0,E29*(1-前提条件!$C$12)+C30*前提条件!$C$11-I30)</f>
        <v>896.562025491028</v>
      </c>
      <c r="F30" s="23" t="n">
        <f aca="false">F29*(1-前提条件!$C$15)+I30</f>
        <v>256.759666454858</v>
      </c>
      <c r="G30" s="23" t="n">
        <f aca="false">E30+F30</f>
        <v>1153.32169194589</v>
      </c>
      <c r="H30" s="24" t="n">
        <f aca="false">前提条件!$C$13*MIN(1,$A30/前提条件!$C$14)</f>
        <v>0.03</v>
      </c>
      <c r="I30" s="23" t="n">
        <f aca="false">E29*H30</f>
        <v>26.2330310226187</v>
      </c>
      <c r="J30" s="25" t="n">
        <f aca="false">F30*前提条件!$C$16</f>
        <v>141217.816550172</v>
      </c>
      <c r="K30" s="23" t="n">
        <f aca="false">IF($A30&lt;前提条件!$C$18,0,IF($A30&lt;=12,前提条件!$C$19,IF($A30&lt;=24,前提条件!$C$20,前提条件!$C$21)))</f>
        <v>0.8</v>
      </c>
      <c r="L30" s="23" t="n">
        <f aca="false">L29*(1-前提条件!$C$22)+K30</f>
        <v>6.40584915013424</v>
      </c>
      <c r="M30" s="25" t="n">
        <f aca="false">L30*前提条件!$C$23</f>
        <v>12811.6983002685</v>
      </c>
      <c r="N30" s="26" t="n">
        <f aca="false">J30+M30</f>
        <v>154029.51485044</v>
      </c>
      <c r="O30" s="25" t="n">
        <f aca="false">IF($A30&lt;=12,前提条件!$C$25,前提条件!$C$26)</f>
        <v>25000</v>
      </c>
      <c r="P30" s="25" t="n">
        <f aca="false">G30*前提条件!$C$27</f>
        <v>3459.96507583766</v>
      </c>
      <c r="Q30" s="25" t="n">
        <f aca="false">F30*前提条件!$C$28</f>
        <v>2054.07733163887</v>
      </c>
      <c r="R30" s="25" t="n">
        <f aca="false">N30*前提条件!$C$30</f>
        <v>12322.3611880352</v>
      </c>
      <c r="S30" s="25" t="n">
        <f aca="false">IF($A30&lt;=12,前提条件!$C$31,IF($A30&lt;=24,前提条件!$C$32,前提条件!$C$33))</f>
        <v>50000</v>
      </c>
      <c r="T30" s="25" t="n">
        <f aca="false">IF(F30&gt;=前提条件!$C$34,前提条件!$C$35,0)</f>
        <v>0</v>
      </c>
      <c r="U30" s="25" t="n">
        <f aca="false">IF(L30&gt;=前提条件!$C$36,前提条件!$C$37,0)</f>
        <v>0</v>
      </c>
      <c r="V30" s="25" t="n">
        <f aca="false">(O30+P30+Q30+R30+S30+T30+U30)*前提条件!$C$38</f>
        <v>9283.64035955118</v>
      </c>
      <c r="W30" s="26" t="n">
        <f aca="false">O30+P30+Q30+R30+S30+T30+U30+V30</f>
        <v>102120.043955063</v>
      </c>
      <c r="X30" s="26" t="n">
        <f aca="false">N30-W30</f>
        <v>51909.4708953775</v>
      </c>
      <c r="Y30" s="26" t="n">
        <f aca="false">Y29+X30</f>
        <v>-193502.28283485</v>
      </c>
    </row>
    <row r="31" customFormat="false" ht="15" hidden="false" customHeight="false" outlineLevel="0" collapsed="false">
      <c r="A31" s="21" t="n">
        <v>26</v>
      </c>
      <c r="B31" s="22" t="n">
        <f aca="false">C31/前提条件!$C$10</f>
        <v>1194.98592871541</v>
      </c>
      <c r="C31" s="22" t="n">
        <f aca="false">C30*(1+IF($A31&lt;=12,前提条件!$C$7,IF($A31&lt;=24,前提条件!$C$8,前提条件!$C$9)))</f>
        <v>298.746482178852</v>
      </c>
      <c r="D31" s="22" t="n">
        <f aca="false">D30+C31</f>
        <v>6007.44217617532</v>
      </c>
      <c r="E31" s="23" t="n">
        <f aca="false">MAX(0,E30*(1-前提条件!$C$12)+C31*前提条件!$C$11-I31)</f>
        <v>917.438795558556</v>
      </c>
      <c r="F31" s="23" t="n">
        <f aca="false">F30*(1-前提条件!$C$15)+I31</f>
        <v>270.818543896846</v>
      </c>
      <c r="G31" s="23" t="n">
        <f aca="false">E31+F31</f>
        <v>1188.2573394554</v>
      </c>
      <c r="H31" s="24" t="n">
        <f aca="false">前提条件!$C$13*MIN(1,$A31/前提条件!$C$14)</f>
        <v>0.03</v>
      </c>
      <c r="I31" s="23" t="n">
        <f aca="false">E30*H31</f>
        <v>26.8968607647309</v>
      </c>
      <c r="J31" s="25" t="n">
        <f aca="false">F31*前提条件!$C$16</f>
        <v>148950.199143265</v>
      </c>
      <c r="K31" s="23" t="n">
        <f aca="false">IF($A31&lt;前提条件!$C$18,0,IF($A31&lt;=12,前提条件!$C$19,IF($A31&lt;=24,前提条件!$C$20,前提条件!$C$21)))</f>
        <v>0.8</v>
      </c>
      <c r="L31" s="23" t="n">
        <f aca="false">L30*(1-前提条件!$C$22)+K31</f>
        <v>6.94961518412887</v>
      </c>
      <c r="M31" s="25" t="n">
        <f aca="false">L31*前提条件!$C$23</f>
        <v>13899.2303682577</v>
      </c>
      <c r="N31" s="26" t="n">
        <f aca="false">J31+M31</f>
        <v>162849.429511523</v>
      </c>
      <c r="O31" s="25" t="n">
        <f aca="false">IF($A31&lt;=12,前提条件!$C$25,前提条件!$C$26)</f>
        <v>25000</v>
      </c>
      <c r="P31" s="25" t="n">
        <f aca="false">G31*前提条件!$C$27</f>
        <v>3564.77201836621</v>
      </c>
      <c r="Q31" s="25" t="n">
        <f aca="false">F31*前提条件!$C$28</f>
        <v>2166.54835117477</v>
      </c>
      <c r="R31" s="25" t="n">
        <f aca="false">N31*前提条件!$C$30</f>
        <v>13027.9543609218</v>
      </c>
      <c r="S31" s="25" t="n">
        <f aca="false">IF($A31&lt;=12,前提条件!$C$31,IF($A31&lt;=24,前提条件!$C$32,前提条件!$C$33))</f>
        <v>50000</v>
      </c>
      <c r="T31" s="25" t="n">
        <f aca="false">IF(F31&gt;=前提条件!$C$34,前提条件!$C$35,0)</f>
        <v>0</v>
      </c>
      <c r="U31" s="25" t="n">
        <f aca="false">IF(L31&gt;=前提条件!$C$36,前提条件!$C$37,0)</f>
        <v>0</v>
      </c>
      <c r="V31" s="25" t="n">
        <f aca="false">(O31+P31+Q31+R31+S31+T31+U31)*前提条件!$C$38</f>
        <v>9375.92747304628</v>
      </c>
      <c r="W31" s="26" t="n">
        <f aca="false">O31+P31+Q31+R31+S31+T31+U31+V31</f>
        <v>103135.202203509</v>
      </c>
      <c r="X31" s="26" t="n">
        <f aca="false">N31-W31</f>
        <v>59714.227308014</v>
      </c>
      <c r="Y31" s="26" t="n">
        <f aca="false">Y30+X31</f>
        <v>-133788.055526836</v>
      </c>
    </row>
    <row r="32" customFormat="false" ht="15" hidden="false" customHeight="false" outlineLevel="0" collapsed="false">
      <c r="A32" s="21" t="n">
        <v>27</v>
      </c>
      <c r="B32" s="22" t="n">
        <f aca="false">C32/前提条件!$C$10</f>
        <v>1206.93578800256</v>
      </c>
      <c r="C32" s="22" t="n">
        <f aca="false">C31*(1+IF($A32&lt;=12,前提条件!$C$7,IF($A32&lt;=24,前提条件!$C$8,前提条件!$C$9)))</f>
        <v>301.733947000641</v>
      </c>
      <c r="D32" s="22" t="n">
        <f aca="false">D31+C32</f>
        <v>6309.17612317596</v>
      </c>
      <c r="E32" s="23" t="n">
        <f aca="false">MAX(0,E31*(1-前提条件!$C$12)+C32*前提条件!$C$11-I32)</f>
        <v>937.214106847371</v>
      </c>
      <c r="F32" s="23" t="n">
        <f aca="false">F31*(1-前提条件!$C$15)+I32</f>
        <v>284.800780568761</v>
      </c>
      <c r="G32" s="23" t="n">
        <f aca="false">E32+F32</f>
        <v>1222.01488741613</v>
      </c>
      <c r="H32" s="24" t="n">
        <f aca="false">前提条件!$C$13*MIN(1,$A32/前提条件!$C$14)</f>
        <v>0.03</v>
      </c>
      <c r="I32" s="23" t="n">
        <f aca="false">E31*H32</f>
        <v>27.5231638667567</v>
      </c>
      <c r="J32" s="25" t="n">
        <f aca="false">F32*前提条件!$C$16</f>
        <v>156640.429312818</v>
      </c>
      <c r="K32" s="23" t="n">
        <f aca="false">IF($A32&lt;前提条件!$C$18,0,IF($A32&lt;=12,前提条件!$C$19,IF($A32&lt;=24,前提条件!$C$20,前提条件!$C$21)))</f>
        <v>0.8</v>
      </c>
      <c r="L32" s="23" t="n">
        <f aca="false">L31*(1-前提条件!$C$22)+K32</f>
        <v>7.47163057676372</v>
      </c>
      <c r="M32" s="25" t="n">
        <f aca="false">L32*前提条件!$C$23</f>
        <v>14943.2611535274</v>
      </c>
      <c r="N32" s="26" t="n">
        <f aca="false">J32+M32</f>
        <v>171583.690466346</v>
      </c>
      <c r="O32" s="25" t="n">
        <f aca="false">IF($A32&lt;=12,前提条件!$C$25,前提条件!$C$26)</f>
        <v>25000</v>
      </c>
      <c r="P32" s="25" t="n">
        <f aca="false">G32*前提条件!$C$27</f>
        <v>3666.0446622484</v>
      </c>
      <c r="Q32" s="25" t="n">
        <f aca="false">F32*前提条件!$C$28</f>
        <v>2278.40624455008</v>
      </c>
      <c r="R32" s="25" t="n">
        <f aca="false">N32*前提条件!$C$30</f>
        <v>13726.6952373077</v>
      </c>
      <c r="S32" s="25" t="n">
        <f aca="false">IF($A32&lt;=12,前提条件!$C$31,IF($A32&lt;=24,前提条件!$C$32,前提条件!$C$33))</f>
        <v>50000</v>
      </c>
      <c r="T32" s="25" t="n">
        <f aca="false">IF(F32&gt;=前提条件!$C$34,前提条件!$C$35,0)</f>
        <v>0</v>
      </c>
      <c r="U32" s="25" t="n">
        <f aca="false">IF(L32&gt;=前提条件!$C$36,前提条件!$C$37,0)</f>
        <v>0</v>
      </c>
      <c r="V32" s="25" t="n">
        <f aca="false">(O32+P32+Q32+R32+S32+T32+U32)*前提条件!$C$38</f>
        <v>9467.11461441062</v>
      </c>
      <c r="W32" s="26" t="n">
        <f aca="false">O32+P32+Q32+R32+S32+T32+U32+V32</f>
        <v>104138.260758517</v>
      </c>
      <c r="X32" s="26" t="n">
        <f aca="false">N32-W32</f>
        <v>67445.4297078289</v>
      </c>
      <c r="Y32" s="26" t="n">
        <f aca="false">Y31+X32</f>
        <v>-66342.6258190073</v>
      </c>
    </row>
    <row r="33" customFormat="false" ht="15" hidden="false" customHeight="false" outlineLevel="0" collapsed="false">
      <c r="A33" s="21" t="n">
        <v>28</v>
      </c>
      <c r="B33" s="22" t="n">
        <f aca="false">C33/前提条件!$C$10</f>
        <v>1219.00514588259</v>
      </c>
      <c r="C33" s="22" t="n">
        <f aca="false">C32*(1+IF($A33&lt;=12,前提条件!$C$7,IF($A33&lt;=24,前提条件!$C$8,前提条件!$C$9)))</f>
        <v>304.751286470647</v>
      </c>
      <c r="D33" s="22" t="n">
        <f aca="false">D32+C33</f>
        <v>6613.92740964661</v>
      </c>
      <c r="E33" s="23" t="n">
        <f aca="false">MAX(0,E32*(1-前提条件!$C$12)+C33*前提条件!$C$11-I33)</f>
        <v>956.021069682419</v>
      </c>
      <c r="F33" s="23" t="n">
        <f aca="false">F32*(1-前提条件!$C$15)+I33</f>
        <v>298.677164745744</v>
      </c>
      <c r="G33" s="23" t="n">
        <f aca="false">E33+F33</f>
        <v>1254.69823442816</v>
      </c>
      <c r="H33" s="24" t="n">
        <f aca="false">前提条件!$C$13*MIN(1,$A33/前提条件!$C$14)</f>
        <v>0.03</v>
      </c>
      <c r="I33" s="23" t="n">
        <f aca="false">E32*H33</f>
        <v>28.1164232054211</v>
      </c>
      <c r="J33" s="25" t="n">
        <f aca="false">F33*前提条件!$C$16</f>
        <v>164272.440610159</v>
      </c>
      <c r="K33" s="23" t="n">
        <f aca="false">IF($A33&lt;前提条件!$C$18,0,IF($A33&lt;=12,前提条件!$C$19,IF($A33&lt;=24,前提条件!$C$20,前提条件!$C$21)))</f>
        <v>0.8</v>
      </c>
      <c r="L33" s="23" t="n">
        <f aca="false">L32*(1-前提条件!$C$22)+K33</f>
        <v>7.97276535369317</v>
      </c>
      <c r="M33" s="25" t="n">
        <f aca="false">L33*前提条件!$C$23</f>
        <v>15945.5307073863</v>
      </c>
      <c r="N33" s="26" t="n">
        <f aca="false">J33+M33</f>
        <v>180217.971317545</v>
      </c>
      <c r="O33" s="25" t="n">
        <f aca="false">IF($A33&lt;=12,前提条件!$C$25,前提条件!$C$26)</f>
        <v>25000</v>
      </c>
      <c r="P33" s="25" t="n">
        <f aca="false">G33*前提条件!$C$27</f>
        <v>3764.09470328449</v>
      </c>
      <c r="Q33" s="25" t="n">
        <f aca="false">F33*前提条件!$C$28</f>
        <v>2389.41731796595</v>
      </c>
      <c r="R33" s="25" t="n">
        <f aca="false">N33*前提条件!$C$30</f>
        <v>14417.4377054036</v>
      </c>
      <c r="S33" s="25" t="n">
        <f aca="false">IF($A33&lt;=12,前提条件!$C$31,IF($A33&lt;=24,前提条件!$C$32,前提条件!$C$33))</f>
        <v>50000</v>
      </c>
      <c r="T33" s="25" t="n">
        <f aca="false">IF(F33&gt;=前提条件!$C$34,前提条件!$C$35,0)</f>
        <v>0</v>
      </c>
      <c r="U33" s="25" t="n">
        <f aca="false">IF(L33&gt;=前提条件!$C$36,前提条件!$C$37,0)</f>
        <v>0</v>
      </c>
      <c r="V33" s="25" t="n">
        <f aca="false">(O33+P33+Q33+R33+S33+T33+U33)*前提条件!$C$38</f>
        <v>9557.09497266541</v>
      </c>
      <c r="W33" s="26" t="n">
        <f aca="false">O33+P33+Q33+R33+S33+T33+U33+V33</f>
        <v>105128.044699319</v>
      </c>
      <c r="X33" s="26" t="n">
        <f aca="false">N33-W33</f>
        <v>75089.9266182258</v>
      </c>
      <c r="Y33" s="26" t="n">
        <f aca="false">Y32+X33</f>
        <v>8747.30079921857</v>
      </c>
    </row>
    <row r="34" customFormat="false" ht="15" hidden="false" customHeight="false" outlineLevel="0" collapsed="false">
      <c r="A34" s="21" t="n">
        <v>29</v>
      </c>
      <c r="B34" s="22" t="n">
        <f aca="false">C34/前提条件!$C$10</f>
        <v>1231.19519734141</v>
      </c>
      <c r="C34" s="22" t="n">
        <f aca="false">C33*(1+IF($A34&lt;=12,前提条件!$C$7,IF($A34&lt;=24,前提条件!$C$8,前提条件!$C$9)))</f>
        <v>307.798799335353</v>
      </c>
      <c r="D34" s="22" t="n">
        <f aca="false">D33+C34</f>
        <v>6921.72620898196</v>
      </c>
      <c r="E34" s="23" t="n">
        <f aca="false">MAX(0,E33*(1-前提条件!$C$12)+C34*前提条件!$C$11-I34)</f>
        <v>973.978271751495</v>
      </c>
      <c r="F34" s="23" t="n">
        <f aca="false">F33*(1-前提条件!$C$15)+I34</f>
        <v>312.423938598929</v>
      </c>
      <c r="G34" s="23" t="n">
        <f aca="false">E34+F34</f>
        <v>1286.40221035042</v>
      </c>
      <c r="H34" s="24" t="n">
        <f aca="false">前提条件!$C$13*MIN(1,$A34/前提条件!$C$14)</f>
        <v>0.03</v>
      </c>
      <c r="I34" s="23" t="n">
        <f aca="false">E33*H34</f>
        <v>28.6806320904726</v>
      </c>
      <c r="J34" s="25" t="n">
        <f aca="false">F34*前提条件!$C$16</f>
        <v>171833.166229411</v>
      </c>
      <c r="K34" s="23" t="n">
        <f aca="false">IF($A34&lt;前提条件!$C$18,0,IF($A34&lt;=12,前提条件!$C$19,IF($A34&lt;=24,前提条件!$C$20,前提条件!$C$21)))</f>
        <v>0.8</v>
      </c>
      <c r="L34" s="23" t="n">
        <f aca="false">L33*(1-前提条件!$C$22)+K34</f>
        <v>8.45385473954544</v>
      </c>
      <c r="M34" s="25" t="n">
        <f aca="false">L34*前提条件!$C$23</f>
        <v>16907.7094790909</v>
      </c>
      <c r="N34" s="26" t="n">
        <f aca="false">J34+M34</f>
        <v>188740.875708502</v>
      </c>
      <c r="O34" s="25" t="n">
        <f aca="false">IF($A34&lt;=12,前提条件!$C$25,前提条件!$C$26)</f>
        <v>25000</v>
      </c>
      <c r="P34" s="25" t="n">
        <f aca="false">G34*前提条件!$C$27</f>
        <v>3859.20663105127</v>
      </c>
      <c r="Q34" s="25" t="n">
        <f aca="false">F34*前提条件!$C$28</f>
        <v>2499.39150879143</v>
      </c>
      <c r="R34" s="25" t="n">
        <f aca="false">N34*前提条件!$C$30</f>
        <v>15099.2700566801</v>
      </c>
      <c r="S34" s="25" t="n">
        <f aca="false">IF($A34&lt;=12,前提条件!$C$31,IF($A34&lt;=24,前提条件!$C$32,前提条件!$C$33))</f>
        <v>50000</v>
      </c>
      <c r="T34" s="25" t="n">
        <f aca="false">IF(F34&gt;=前提条件!$C$34,前提条件!$C$35,0)</f>
        <v>0</v>
      </c>
      <c r="U34" s="25" t="n">
        <f aca="false">IF(L34&gt;=前提条件!$C$36,前提条件!$C$37,0)</f>
        <v>0</v>
      </c>
      <c r="V34" s="25" t="n">
        <f aca="false">(O34+P34+Q34+R34+S34+T34+U34)*前提条件!$C$38</f>
        <v>9645.78681965229</v>
      </c>
      <c r="W34" s="26" t="n">
        <f aca="false">O34+P34+Q34+R34+S34+T34+U34+V34</f>
        <v>106103.655016175</v>
      </c>
      <c r="X34" s="26" t="n">
        <f aca="false">N34-W34</f>
        <v>82637.2206923267</v>
      </c>
      <c r="Y34" s="26" t="n">
        <f aca="false">Y33+X34</f>
        <v>91384.5214915452</v>
      </c>
    </row>
    <row r="35" customFormat="false" ht="15" hidden="false" customHeight="false" outlineLevel="0" collapsed="false">
      <c r="A35" s="21" t="n">
        <v>30</v>
      </c>
      <c r="B35" s="22" t="n">
        <f aca="false">C35/前提条件!$C$10</f>
        <v>1243.50714931483</v>
      </c>
      <c r="C35" s="22" t="n">
        <f aca="false">C34*(1+IF($A35&lt;=12,前提条件!$C$7,IF($A35&lt;=24,前提条件!$C$8,前提条件!$C$9)))</f>
        <v>310.876787328707</v>
      </c>
      <c r="D35" s="22" t="n">
        <f aca="false">D34+C35</f>
        <v>7232.60299631067</v>
      </c>
      <c r="E35" s="23" t="n">
        <f aca="false">MAX(0,E34*(1-前提条件!$C$12)+C35*前提条件!$C$11-I35)</f>
        <v>991.191376790313</v>
      </c>
      <c r="F35" s="23" t="n">
        <f aca="false">F34*(1-前提条件!$C$15)+I35</f>
        <v>326.022089821527</v>
      </c>
      <c r="G35" s="23" t="n">
        <f aca="false">E35+F35</f>
        <v>1317.21346661184</v>
      </c>
      <c r="H35" s="24" t="n">
        <f aca="false">前提条件!$C$13*MIN(1,$A35/前提条件!$C$14)</f>
        <v>0.03</v>
      </c>
      <c r="I35" s="23" t="n">
        <f aca="false">E34*H35</f>
        <v>29.2193481525448</v>
      </c>
      <c r="J35" s="25" t="n">
        <f aca="false">F35*前提条件!$C$16</f>
        <v>179312.14940184</v>
      </c>
      <c r="K35" s="23" t="n">
        <f aca="false">IF($A35&lt;前提条件!$C$18,0,IF($A35&lt;=12,前提条件!$C$19,IF($A35&lt;=24,前提条件!$C$20,前提条件!$C$21)))</f>
        <v>0.8</v>
      </c>
      <c r="L35" s="23" t="n">
        <f aca="false">L34*(1-前提条件!$C$22)+K35</f>
        <v>8.91570054996362</v>
      </c>
      <c r="M35" s="25" t="n">
        <f aca="false">L35*前提条件!$C$23</f>
        <v>17831.4010999272</v>
      </c>
      <c r="N35" s="26" t="n">
        <f aca="false">J35+M35</f>
        <v>197143.550501767</v>
      </c>
      <c r="O35" s="25" t="n">
        <f aca="false">IF($A35&lt;=12,前提条件!$C$25,前提条件!$C$26)</f>
        <v>25000</v>
      </c>
      <c r="P35" s="25" t="n">
        <f aca="false">G35*前提条件!$C$27</f>
        <v>3951.64039983552</v>
      </c>
      <c r="Q35" s="25" t="n">
        <f aca="false">F35*前提条件!$C$28</f>
        <v>2608.17671857222</v>
      </c>
      <c r="R35" s="25" t="n">
        <f aca="false">N35*前提条件!$C$30</f>
        <v>15771.4840401414</v>
      </c>
      <c r="S35" s="25" t="n">
        <f aca="false">IF($A35&lt;=12,前提条件!$C$31,IF($A35&lt;=24,前提条件!$C$32,前提条件!$C$33))</f>
        <v>50000</v>
      </c>
      <c r="T35" s="25" t="n">
        <f aca="false">IF(F35&gt;=前提条件!$C$34,前提条件!$C$35,0)</f>
        <v>0</v>
      </c>
      <c r="U35" s="25" t="n">
        <f aca="false">IF(L35&gt;=前提条件!$C$36,前提条件!$C$37,0)</f>
        <v>0</v>
      </c>
      <c r="V35" s="25" t="n">
        <f aca="false">(O35+P35+Q35+R35+S35+T35+U35)*前提条件!$C$38</f>
        <v>9733.13011585491</v>
      </c>
      <c r="W35" s="26" t="n">
        <f aca="false">O35+P35+Q35+R35+S35+T35+U35+V35</f>
        <v>107064.431274404</v>
      </c>
      <c r="X35" s="26" t="n">
        <f aca="false">N35-W35</f>
        <v>90079.1192273632</v>
      </c>
      <c r="Y35" s="26" t="n">
        <f aca="false">Y34+X35</f>
        <v>181463.640718908</v>
      </c>
    </row>
    <row r="36" customFormat="false" ht="15" hidden="false" customHeight="false" outlineLevel="0" collapsed="false">
      <c r="A36" s="21" t="n">
        <v>31</v>
      </c>
      <c r="B36" s="22" t="n">
        <f aca="false">C36/前提条件!$C$10</f>
        <v>1255.94222080798</v>
      </c>
      <c r="C36" s="22" t="n">
        <f aca="false">C35*(1+IF($A36&lt;=12,前提条件!$C$7,IF($A36&lt;=24,前提条件!$C$8,前提条件!$C$9)))</f>
        <v>313.985555201994</v>
      </c>
      <c r="D36" s="22" t="n">
        <f aca="false">D35+C36</f>
        <v>7546.58855151266</v>
      </c>
      <c r="E36" s="23" t="n">
        <f aca="false">MAX(0,E35*(1-前提条件!$C$12)+C36*前提条件!$C$11-I36)</f>
        <v>1007.75454742418</v>
      </c>
      <c r="F36" s="23" t="n">
        <f aca="false">F35*(1-前提条件!$C$15)+I36</f>
        <v>339.45672663416</v>
      </c>
      <c r="G36" s="23" t="n">
        <f aca="false">E36+F36</f>
        <v>1347.21127405834</v>
      </c>
      <c r="H36" s="24" t="n">
        <f aca="false">前提条件!$C$13*MIN(1,$A36/前提条件!$C$14)</f>
        <v>0.03</v>
      </c>
      <c r="I36" s="23" t="n">
        <f aca="false">E35*H36</f>
        <v>29.7357413037094</v>
      </c>
      <c r="J36" s="25" t="n">
        <f aca="false">F36*前提条件!$C$16</f>
        <v>186701.199648788</v>
      </c>
      <c r="K36" s="23" t="n">
        <f aca="false">IF($A36&lt;前提条件!$C$18,0,IF($A36&lt;=12,前提条件!$C$19,IF($A36&lt;=24,前提条件!$C$20,前提条件!$C$21)))</f>
        <v>0.8</v>
      </c>
      <c r="L36" s="23" t="n">
        <f aca="false">L35*(1-前提条件!$C$22)+K36</f>
        <v>9.35907252796508</v>
      </c>
      <c r="M36" s="25" t="n">
        <f aca="false">L36*前提条件!$C$23</f>
        <v>18718.1450559302</v>
      </c>
      <c r="N36" s="26" t="n">
        <f aca="false">J36+M36</f>
        <v>205419.344704718</v>
      </c>
      <c r="O36" s="25" t="n">
        <f aca="false">IF($A36&lt;=12,前提条件!$C$25,前提条件!$C$26)</f>
        <v>25000</v>
      </c>
      <c r="P36" s="25" t="n">
        <f aca="false">G36*前提条件!$C$27</f>
        <v>4041.63382217501</v>
      </c>
      <c r="Q36" s="25" t="n">
        <f aca="false">F36*前提条件!$C$28</f>
        <v>2715.65381307328</v>
      </c>
      <c r="R36" s="25" t="n">
        <f aca="false">N36*前提条件!$C$30</f>
        <v>16433.5475763775</v>
      </c>
      <c r="S36" s="25" t="n">
        <f aca="false">IF($A36&lt;=12,前提条件!$C$31,IF($A36&lt;=24,前提条件!$C$32,前提条件!$C$33))</f>
        <v>50000</v>
      </c>
      <c r="T36" s="25" t="n">
        <f aca="false">IF(F36&gt;=前提条件!$C$34,前提条件!$C$35,0)</f>
        <v>0</v>
      </c>
      <c r="U36" s="25" t="n">
        <f aca="false">IF(L36&gt;=前提条件!$C$36,前提条件!$C$37,0)</f>
        <v>0</v>
      </c>
      <c r="V36" s="25" t="n">
        <f aca="false">(O36+P36+Q36+R36+S36+T36+U36)*前提条件!$C$38</f>
        <v>9819.08352116258</v>
      </c>
      <c r="W36" s="26" t="n">
        <f aca="false">O36+P36+Q36+R36+S36+T36+U36+V36</f>
        <v>108009.918732788</v>
      </c>
      <c r="X36" s="26" t="n">
        <f aca="false">N36-W36</f>
        <v>97409.42597193</v>
      </c>
      <c r="Y36" s="26" t="n">
        <f aca="false">Y35+X36</f>
        <v>278873.066690839</v>
      </c>
    </row>
    <row r="37" customFormat="false" ht="15" hidden="false" customHeight="false" outlineLevel="0" collapsed="false">
      <c r="A37" s="21" t="n">
        <v>32</v>
      </c>
      <c r="B37" s="22" t="n">
        <f aca="false">C37/前提条件!$C$10</f>
        <v>1268.50164301606</v>
      </c>
      <c r="C37" s="22" t="n">
        <f aca="false">C36*(1+IF($A37&lt;=12,前提条件!$C$7,IF($A37&lt;=24,前提条件!$C$8,前提条件!$C$9)))</f>
        <v>317.125410754014</v>
      </c>
      <c r="D37" s="22" t="n">
        <f aca="false">D36+C37</f>
        <v>7863.71396226668</v>
      </c>
      <c r="E37" s="23" t="n">
        <f aca="false">MAX(0,E36*(1-前提条件!$C$12)+C37*前提条件!$C$11-I37)</f>
        <v>1023.75171150912</v>
      </c>
      <c r="F37" s="23" t="n">
        <f aca="false">F36*(1-前提条件!$C$15)+I37</f>
        <v>352.716526725178</v>
      </c>
      <c r="G37" s="23" t="n">
        <f aca="false">E37+F37</f>
        <v>1376.4682382343</v>
      </c>
      <c r="H37" s="24" t="n">
        <f aca="false">前提条件!$C$13*MIN(1,$A37/前提条件!$C$14)</f>
        <v>0.03</v>
      </c>
      <c r="I37" s="23" t="n">
        <f aca="false">E36*H37</f>
        <v>30.2326364227253</v>
      </c>
      <c r="J37" s="25" t="n">
        <f aca="false">F37*前提条件!$C$16</f>
        <v>193994.089698848</v>
      </c>
      <c r="K37" s="23" t="n">
        <f aca="false">IF($A37&lt;前提条件!$C$18,0,IF($A37&lt;=12,前提条件!$C$19,IF($A37&lt;=24,前提条件!$C$20,前提条件!$C$21)))</f>
        <v>0.8</v>
      </c>
      <c r="L37" s="23" t="n">
        <f aca="false">L36*(1-前提条件!$C$22)+K37</f>
        <v>9.78470962684648</v>
      </c>
      <c r="M37" s="25" t="n">
        <f aca="false">L37*前提条件!$C$23</f>
        <v>19569.4192536929</v>
      </c>
      <c r="N37" s="26" t="n">
        <f aca="false">J37+M37</f>
        <v>213563.508952541</v>
      </c>
      <c r="O37" s="25" t="n">
        <f aca="false">IF($A37&lt;=12,前提条件!$C$25,前提条件!$C$26)</f>
        <v>25000</v>
      </c>
      <c r="P37" s="25" t="n">
        <f aca="false">G37*前提条件!$C$27</f>
        <v>4129.4047147029</v>
      </c>
      <c r="Q37" s="25" t="n">
        <f aca="false">F37*前提条件!$C$28</f>
        <v>2821.73221380142</v>
      </c>
      <c r="R37" s="25" t="n">
        <f aca="false">N37*前提条件!$C$30</f>
        <v>17085.0807162033</v>
      </c>
      <c r="S37" s="25" t="n">
        <f aca="false">IF($A37&lt;=12,前提条件!$C$31,IF($A37&lt;=24,前提条件!$C$32,前提条件!$C$33))</f>
        <v>50000</v>
      </c>
      <c r="T37" s="25" t="n">
        <f aca="false">IF(F37&gt;=前提条件!$C$34,前提条件!$C$35,0)</f>
        <v>0</v>
      </c>
      <c r="U37" s="25" t="n">
        <f aca="false">IF(L37&gt;=前提条件!$C$36,前提条件!$C$37,0)</f>
        <v>0</v>
      </c>
      <c r="V37" s="25" t="n">
        <f aca="false">(O37+P37+Q37+R37+S37+T37+U37)*前提条件!$C$38</f>
        <v>9903.62176447076</v>
      </c>
      <c r="W37" s="26" t="n">
        <f aca="false">O37+P37+Q37+R37+S37+T37+U37+V37</f>
        <v>108939.839409178</v>
      </c>
      <c r="X37" s="26" t="n">
        <f aca="false">N37-W37</f>
        <v>104623.669543362</v>
      </c>
      <c r="Y37" s="26" t="n">
        <f aca="false">Y36+X37</f>
        <v>383496.736234201</v>
      </c>
    </row>
    <row r="38" customFormat="false" ht="15" hidden="false" customHeight="false" outlineLevel="0" collapsed="false">
      <c r="A38" s="21" t="n">
        <v>33</v>
      </c>
      <c r="B38" s="22" t="n">
        <f aca="false">C38/前提条件!$C$10</f>
        <v>1281.18665944622</v>
      </c>
      <c r="C38" s="22" t="n">
        <f aca="false">C37*(1+IF($A38&lt;=12,前提条件!$C$7,IF($A38&lt;=24,前提条件!$C$8,前提条件!$C$9)))</f>
        <v>320.296664861554</v>
      </c>
      <c r="D38" s="22" t="n">
        <f aca="false">D37+C38</f>
        <v>8184.01062712823</v>
      </c>
      <c r="E38" s="23" t="n">
        <f aca="false">MAX(0,E37*(1-前提条件!$C$12)+C38*前提条件!$C$11-I38)</f>
        <v>1039.25768918774</v>
      </c>
      <c r="F38" s="23" t="n">
        <f aca="false">F37*(1-前提条件!$C$15)+I38</f>
        <v>365.793251734192</v>
      </c>
      <c r="G38" s="23" t="n">
        <f aca="false">E38+F38</f>
        <v>1405.05094092193</v>
      </c>
      <c r="H38" s="24" t="n">
        <f aca="false">前提条件!$C$13*MIN(1,$A38/前提条件!$C$14)</f>
        <v>0.03</v>
      </c>
      <c r="I38" s="23" t="n">
        <f aca="false">E37*H38</f>
        <v>30.7125513452737</v>
      </c>
      <c r="J38" s="25" t="n">
        <f aca="false">F38*前提条件!$C$16</f>
        <v>201186.288453806</v>
      </c>
      <c r="K38" s="23" t="n">
        <f aca="false">IF($A38&lt;前提条件!$C$18,0,IF($A38&lt;=12,前提条件!$C$19,IF($A38&lt;=24,前提条件!$C$20,前提条件!$C$21)))</f>
        <v>0.8</v>
      </c>
      <c r="L38" s="23" t="n">
        <f aca="false">L37*(1-前提条件!$C$22)+K38</f>
        <v>10.1933212417726</v>
      </c>
      <c r="M38" s="25" t="n">
        <f aca="false">L38*前提条件!$C$23</f>
        <v>20386.6424835452</v>
      </c>
      <c r="N38" s="26" t="n">
        <f aca="false">J38+M38</f>
        <v>221572.930937351</v>
      </c>
      <c r="O38" s="25" t="n">
        <f aca="false">IF($A38&lt;=12,前提条件!$C$25,前提条件!$C$26)</f>
        <v>25000</v>
      </c>
      <c r="P38" s="25" t="n">
        <f aca="false">G38*前提条件!$C$27</f>
        <v>4215.1528227658</v>
      </c>
      <c r="Q38" s="25" t="n">
        <f aca="false">F38*前提条件!$C$28</f>
        <v>2926.34601387354</v>
      </c>
      <c r="R38" s="25" t="n">
        <f aca="false">N38*前提条件!$C$30</f>
        <v>17725.8344749881</v>
      </c>
      <c r="S38" s="25" t="n">
        <f aca="false">IF($A38&lt;=12,前提条件!$C$31,IF($A38&lt;=24,前提条件!$C$32,前提条件!$C$33))</f>
        <v>50000</v>
      </c>
      <c r="T38" s="25" t="n">
        <f aca="false">IF(F38&gt;=前提条件!$C$34,前提条件!$C$35,0)</f>
        <v>0</v>
      </c>
      <c r="U38" s="25" t="n">
        <f aca="false">IF(L38&gt;=前提条件!$C$36,前提条件!$C$37,0)</f>
        <v>80000</v>
      </c>
      <c r="V38" s="25" t="n">
        <f aca="false">(O38+P38+Q38+R38+S38+T38+U38)*前提条件!$C$38</f>
        <v>17986.7333311627</v>
      </c>
      <c r="W38" s="26" t="n">
        <f aca="false">O38+P38+Q38+R38+S38+T38+U38+V38</f>
        <v>197854.06664279</v>
      </c>
      <c r="X38" s="26" t="n">
        <f aca="false">N38-W38</f>
        <v>23718.8642945609</v>
      </c>
      <c r="Y38" s="26" t="n">
        <f aca="false">Y37+X38</f>
        <v>407215.600528762</v>
      </c>
    </row>
    <row r="39" customFormat="false" ht="15" hidden="false" customHeight="false" outlineLevel="0" collapsed="false">
      <c r="A39" s="21" t="n">
        <v>34</v>
      </c>
      <c r="B39" s="22" t="n">
        <f aca="false">C39/前提条件!$C$10</f>
        <v>1293.99852604068</v>
      </c>
      <c r="C39" s="22" t="n">
        <f aca="false">C38*(1+IF($A39&lt;=12,前提条件!$C$7,IF($A39&lt;=24,前提条件!$C$8,前提条件!$C$9)))</f>
        <v>323.49963151017</v>
      </c>
      <c r="D39" s="22" t="n">
        <f aca="false">D38+C39</f>
        <v>8507.5102586384</v>
      </c>
      <c r="E39" s="23" t="n">
        <f aca="false">MAX(0,E38*(1-前提条件!$C$12)+C39*前提条件!$C$11-I39)</f>
        <v>1054.33919598116</v>
      </c>
      <c r="F39" s="23" t="n">
        <f aca="false">F38*(1-前提条件!$C$15)+I39</f>
        <v>378.681319823115</v>
      </c>
      <c r="G39" s="23" t="n">
        <f aca="false">E39+F39</f>
        <v>1433.02051580427</v>
      </c>
      <c r="H39" s="24" t="n">
        <f aca="false">前提条件!$C$13*MIN(1,$A39/前提条件!$C$14)</f>
        <v>0.03</v>
      </c>
      <c r="I39" s="23" t="n">
        <f aca="false">E38*H39</f>
        <v>31.1777306756322</v>
      </c>
      <c r="J39" s="25" t="n">
        <f aca="false">F39*前提条件!$C$16</f>
        <v>208274.725902713</v>
      </c>
      <c r="K39" s="23" t="n">
        <f aca="false">IF($A39&lt;前提条件!$C$18,0,IF($A39&lt;=12,前提条件!$C$19,IF($A39&lt;=24,前提条件!$C$20,前提条件!$C$21)))</f>
        <v>0.8</v>
      </c>
      <c r="L39" s="23" t="n">
        <f aca="false">L38*(1-前提条件!$C$22)+K39</f>
        <v>10.5855883921017</v>
      </c>
      <c r="M39" s="25" t="n">
        <f aca="false">L39*前提条件!$C$23</f>
        <v>21171.1767842034</v>
      </c>
      <c r="N39" s="26" t="n">
        <f aca="false">J39+M39</f>
        <v>229445.902686917</v>
      </c>
      <c r="O39" s="25" t="n">
        <f aca="false">IF($A39&lt;=12,前提条件!$C$25,前提条件!$C$26)</f>
        <v>25000</v>
      </c>
      <c r="P39" s="25" t="n">
        <f aca="false">G39*前提条件!$C$27</f>
        <v>4299.06154741282</v>
      </c>
      <c r="Q39" s="25" t="n">
        <f aca="false">F39*前提条件!$C$28</f>
        <v>3029.45055858492</v>
      </c>
      <c r="R39" s="25" t="n">
        <f aca="false">N39*前提条件!$C$30</f>
        <v>18355.6722149533</v>
      </c>
      <c r="S39" s="25" t="n">
        <f aca="false">IF($A39&lt;=12,前提条件!$C$31,IF($A39&lt;=24,前提条件!$C$32,前提条件!$C$33))</f>
        <v>50000</v>
      </c>
      <c r="T39" s="25" t="n">
        <f aca="false">IF(F39&gt;=前提条件!$C$34,前提条件!$C$35,0)</f>
        <v>0</v>
      </c>
      <c r="U39" s="25" t="n">
        <f aca="false">IF(L39&gt;=前提条件!$C$36,前提条件!$C$37,0)</f>
        <v>80000</v>
      </c>
      <c r="V39" s="25" t="n">
        <f aca="false">(O39+P39+Q39+R39+S39+T39+U39)*前提条件!$C$38</f>
        <v>18068.4184320951</v>
      </c>
      <c r="W39" s="26" t="n">
        <f aca="false">O39+P39+Q39+R39+S39+T39+U39+V39</f>
        <v>198752.602753046</v>
      </c>
      <c r="X39" s="26" t="n">
        <f aca="false">N39-W39</f>
        <v>30693.2999338705</v>
      </c>
      <c r="Y39" s="26" t="n">
        <f aca="false">Y38+X39</f>
        <v>437908.900462632</v>
      </c>
    </row>
    <row r="40" customFormat="false" ht="15" hidden="false" customHeight="false" outlineLevel="0" collapsed="false">
      <c r="A40" s="21" t="n">
        <v>35</v>
      </c>
      <c r="B40" s="22" t="n">
        <f aca="false">C40/前提条件!$C$10</f>
        <v>1306.93851130109</v>
      </c>
      <c r="C40" s="22" t="n">
        <f aca="false">C39*(1+IF($A40&lt;=12,前提条件!$C$7,IF($A40&lt;=24,前提条件!$C$8,前提条件!$C$9)))</f>
        <v>326.734627825271</v>
      </c>
      <c r="D40" s="22" t="n">
        <f aca="false">D39+C40</f>
        <v>8834.24488646367</v>
      </c>
      <c r="E40" s="23" t="n">
        <f aca="false">MAX(0,E39*(1-前提条件!$C$12)+C40*前提条件!$C$11-I40)</f>
        <v>1069.05573555334</v>
      </c>
      <c r="F40" s="23" t="n">
        <f aca="false">F39*(1-前提条件!$C$15)+I40</f>
        <v>391.377429711394</v>
      </c>
      <c r="G40" s="23" t="n">
        <f aca="false">E40+F40</f>
        <v>1460.43316526473</v>
      </c>
      <c r="H40" s="24" t="n">
        <f aca="false">前提条件!$C$13*MIN(1,$A40/前提条件!$C$14)</f>
        <v>0.03</v>
      </c>
      <c r="I40" s="23" t="n">
        <f aca="false">E39*H40</f>
        <v>31.6301758794347</v>
      </c>
      <c r="J40" s="25" t="n">
        <f aca="false">F40*前提条件!$C$16</f>
        <v>215257.586341267</v>
      </c>
      <c r="K40" s="23" t="n">
        <f aca="false">IF($A40&lt;前提条件!$C$18,0,IF($A40&lt;=12,前提条件!$C$19,IF($A40&lt;=24,前提条件!$C$20,前提条件!$C$21)))</f>
        <v>0.8</v>
      </c>
      <c r="L40" s="23" t="n">
        <f aca="false">L39*(1-前提条件!$C$22)+K40</f>
        <v>10.9621648564176</v>
      </c>
      <c r="M40" s="25" t="n">
        <f aca="false">L40*前提条件!$C$23</f>
        <v>21924.3297128353</v>
      </c>
      <c r="N40" s="26" t="n">
        <f aca="false">J40+M40</f>
        <v>237181.916054102</v>
      </c>
      <c r="O40" s="25" t="n">
        <f aca="false">IF($A40&lt;=12,前提条件!$C$25,前提条件!$C$26)</f>
        <v>25000</v>
      </c>
      <c r="P40" s="25" t="n">
        <f aca="false">G40*前提条件!$C$27</f>
        <v>4381.2994957942</v>
      </c>
      <c r="Q40" s="25" t="n">
        <f aca="false">F40*前提条件!$C$28</f>
        <v>3131.01943769115</v>
      </c>
      <c r="R40" s="25" t="n">
        <f aca="false">N40*前提条件!$C$30</f>
        <v>18974.5532843282</v>
      </c>
      <c r="S40" s="25" t="n">
        <f aca="false">IF($A40&lt;=12,前提条件!$C$31,IF($A40&lt;=24,前提条件!$C$32,前提条件!$C$33))</f>
        <v>50000</v>
      </c>
      <c r="T40" s="25" t="n">
        <f aca="false">IF(F40&gt;=前提条件!$C$34,前提条件!$C$35,0)</f>
        <v>0</v>
      </c>
      <c r="U40" s="25" t="n">
        <f aca="false">IF(L40&gt;=前提条件!$C$36,前提条件!$C$37,0)</f>
        <v>80000</v>
      </c>
      <c r="V40" s="25" t="n">
        <f aca="false">(O40+P40+Q40+R40+S40+T40+U40)*前提条件!$C$38</f>
        <v>18148.6872217814</v>
      </c>
      <c r="W40" s="26" t="n">
        <f aca="false">O40+P40+Q40+R40+S40+T40+U40+V40</f>
        <v>199635.559439595</v>
      </c>
      <c r="X40" s="26" t="n">
        <f aca="false">N40-W40</f>
        <v>37546.3566145071</v>
      </c>
      <c r="Y40" s="26" t="n">
        <f aca="false">Y39+X40</f>
        <v>475455.257077139</v>
      </c>
    </row>
    <row r="41" customFormat="false" ht="15" hidden="false" customHeight="false" outlineLevel="0" collapsed="false">
      <c r="A41" s="27" t="n">
        <v>36</v>
      </c>
      <c r="B41" s="28" t="n">
        <f aca="false">C41/前提条件!$C$10</f>
        <v>1320.0078964141</v>
      </c>
      <c r="C41" s="28" t="n">
        <f aca="false">C40*(1+IF($A41&lt;=12,前提条件!$C$7,IF($A41&lt;=24,前提条件!$C$8,前提条件!$C$9)))</f>
        <v>330.001974103524</v>
      </c>
      <c r="D41" s="28" t="n">
        <f aca="false">D40+C41</f>
        <v>9164.2468605672</v>
      </c>
      <c r="E41" s="29" t="n">
        <f aca="false">MAX(0,E40*(1-前提条件!$C$12)+C41*前提条件!$C$11-I41)</f>
        <v>1083.46039428388</v>
      </c>
      <c r="F41" s="29" t="n">
        <f aca="false">F40*(1-前提条件!$C$15)+I41</f>
        <v>403.880230292424</v>
      </c>
      <c r="G41" s="29" t="n">
        <f aca="false">E41+F41</f>
        <v>1487.34062457631</v>
      </c>
      <c r="H41" s="30" t="n">
        <f aca="false">前提条件!$C$13*MIN(1,$A41/前提条件!$C$14)</f>
        <v>0.03</v>
      </c>
      <c r="I41" s="29" t="n">
        <f aca="false">E40*H41</f>
        <v>32.0716720666002</v>
      </c>
      <c r="J41" s="31" t="n">
        <f aca="false">F41*前提条件!$C$16</f>
        <v>222134.126660833</v>
      </c>
      <c r="K41" s="29" t="n">
        <f aca="false">IF($A41&lt;前提条件!$C$18,0,IF($A41&lt;=12,前提条件!$C$19,IF($A41&lt;=24,前提条件!$C$20,前提条件!$C$21)))</f>
        <v>0.8</v>
      </c>
      <c r="L41" s="29" t="n">
        <f aca="false">L40*(1-前提条件!$C$22)+K41</f>
        <v>11.3236782621609</v>
      </c>
      <c r="M41" s="31" t="n">
        <f aca="false">L41*前提条件!$C$23</f>
        <v>22647.3565243219</v>
      </c>
      <c r="N41" s="32" t="n">
        <f aca="false">J41+M41</f>
        <v>244781.483185155</v>
      </c>
      <c r="O41" s="31" t="n">
        <f aca="false">IF($A41&lt;=12,前提条件!$C$25,前提条件!$C$26)</f>
        <v>25000</v>
      </c>
      <c r="P41" s="31" t="n">
        <f aca="false">G41*前提条件!$C$27</f>
        <v>4462.02187372892</v>
      </c>
      <c r="Q41" s="31" t="n">
        <f aca="false">F41*前提条件!$C$28</f>
        <v>3231.0418423394</v>
      </c>
      <c r="R41" s="31" t="n">
        <f aca="false">N41*前提条件!$C$30</f>
        <v>19582.5186548124</v>
      </c>
      <c r="S41" s="31" t="n">
        <f aca="false">IF($A41&lt;=12,前提条件!$C$31,IF($A41&lt;=24,前提条件!$C$32,前提条件!$C$33))</f>
        <v>50000</v>
      </c>
      <c r="T41" s="31" t="n">
        <f aca="false">IF(F41&gt;=前提条件!$C$34,前提条件!$C$35,0)</f>
        <v>0</v>
      </c>
      <c r="U41" s="31" t="n">
        <f aca="false">IF(L41&gt;=前提条件!$C$36,前提条件!$C$37,0)</f>
        <v>80000</v>
      </c>
      <c r="V41" s="31" t="n">
        <f aca="false">(O41+P41+Q41+R41+S41+T41+U41)*前提条件!$C$38</f>
        <v>18227.5582370881</v>
      </c>
      <c r="W41" s="32" t="n">
        <f aca="false">O41+P41+Q41+R41+S41+T41+U41+V41</f>
        <v>200503.140607969</v>
      </c>
      <c r="X41" s="32" t="n">
        <f aca="false">N41-W41</f>
        <v>44278.3425771865</v>
      </c>
      <c r="Y41" s="32" t="n">
        <f aca="false">Y40+X41</f>
        <v>519733.599654326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472C4"/>
    <pageSetUpPr fitToPage="false"/>
  </sheetPr>
  <dimension ref="A1:Y4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5" min="2" style="0" width="15"/>
  </cols>
  <sheetData>
    <row r="1" customFormat="false" ht="21.6" hidden="false" customHeight="false" outlineLevel="0" collapsed="false">
      <c r="A1" s="1" t="s">
        <v>129</v>
      </c>
    </row>
    <row r="2" customFormat="false" ht="15" hidden="false" customHeight="false" outlineLevel="0" collapsed="false">
      <c r="A2" s="5" t="s">
        <v>103</v>
      </c>
    </row>
    <row r="4" customFormat="false" ht="42" hidden="false" customHeight="true" outlineLevel="0" collapsed="false">
      <c r="A4" s="6" t="s">
        <v>104</v>
      </c>
      <c r="B4" s="6" t="s">
        <v>105</v>
      </c>
      <c r="C4" s="6" t="s">
        <v>106</v>
      </c>
      <c r="D4" s="6" t="s">
        <v>107</v>
      </c>
      <c r="E4" s="6" t="s">
        <v>108</v>
      </c>
      <c r="F4" s="6" t="s">
        <v>109</v>
      </c>
      <c r="G4" s="19" t="s">
        <v>110</v>
      </c>
      <c r="H4" s="6" t="s">
        <v>111</v>
      </c>
      <c r="I4" s="6" t="s">
        <v>112</v>
      </c>
      <c r="J4" s="6" t="s">
        <v>113</v>
      </c>
      <c r="K4" s="6" t="s">
        <v>114</v>
      </c>
      <c r="L4" s="6" t="s">
        <v>115</v>
      </c>
      <c r="M4" s="6" t="s">
        <v>116</v>
      </c>
      <c r="N4" s="6" t="s">
        <v>117</v>
      </c>
      <c r="O4" s="6" t="s">
        <v>118</v>
      </c>
      <c r="P4" s="19" t="s">
        <v>119</v>
      </c>
      <c r="Q4" s="19" t="s">
        <v>120</v>
      </c>
      <c r="R4" s="6" t="s">
        <v>121</v>
      </c>
      <c r="S4" s="6" t="s">
        <v>122</v>
      </c>
      <c r="T4" s="19" t="s">
        <v>123</v>
      </c>
      <c r="U4" s="6" t="s">
        <v>124</v>
      </c>
      <c r="V4" s="6" t="s">
        <v>125</v>
      </c>
      <c r="W4" s="6" t="s">
        <v>126</v>
      </c>
      <c r="X4" s="6" t="s">
        <v>127</v>
      </c>
      <c r="Y4" s="6" t="s">
        <v>128</v>
      </c>
    </row>
    <row r="5" customFormat="false" ht="15" hidden="false" customHeight="false" outlineLevel="0" collapsed="false">
      <c r="A5" s="20" t="n">
        <v>0</v>
      </c>
      <c r="B5" s="20" t="n">
        <v>0</v>
      </c>
      <c r="C5" s="20" t="n">
        <v>0</v>
      </c>
      <c r="D5" s="20" t="n">
        <v>0</v>
      </c>
      <c r="E5" s="20" t="n">
        <v>0</v>
      </c>
      <c r="F5" s="20" t="n">
        <v>0</v>
      </c>
      <c r="G5" s="20" t="n">
        <v>0</v>
      </c>
      <c r="H5" s="20" t="n">
        <v>0</v>
      </c>
      <c r="I5" s="20" t="n">
        <v>0</v>
      </c>
      <c r="J5" s="20" t="n">
        <v>0</v>
      </c>
      <c r="K5" s="20" t="n">
        <v>0</v>
      </c>
      <c r="L5" s="20" t="n">
        <v>0</v>
      </c>
      <c r="M5" s="20" t="n">
        <v>0</v>
      </c>
      <c r="N5" s="20" t="n">
        <v>0</v>
      </c>
      <c r="O5" s="20" t="n">
        <v>0</v>
      </c>
      <c r="P5" s="20" t="n">
        <v>0</v>
      </c>
      <c r="Q5" s="20" t="n">
        <v>0</v>
      </c>
      <c r="R5" s="20" t="n">
        <v>0</v>
      </c>
      <c r="S5" s="20" t="n">
        <v>0</v>
      </c>
      <c r="T5" s="20" t="n">
        <v>0</v>
      </c>
      <c r="U5" s="20" t="n">
        <v>0</v>
      </c>
      <c r="V5" s="20" t="n">
        <v>0</v>
      </c>
      <c r="W5" s="20" t="n">
        <v>0</v>
      </c>
      <c r="X5" s="20" t="n">
        <v>0</v>
      </c>
      <c r="Y5" s="20" t="n">
        <v>0</v>
      </c>
    </row>
    <row r="6" customFormat="false" ht="15" hidden="false" customHeight="false" outlineLevel="0" collapsed="false">
      <c r="A6" s="21" t="n">
        <v>1</v>
      </c>
      <c r="B6" s="22" t="n">
        <f aca="false">C6/前提条件!$D$10</f>
        <v>1000</v>
      </c>
      <c r="C6" s="22" t="n">
        <f aca="false">前提条件!$D$6</f>
        <v>300</v>
      </c>
      <c r="D6" s="22" t="n">
        <f aca="false">D5+C6</f>
        <v>300</v>
      </c>
      <c r="E6" s="23" t="n">
        <f aca="false">MAX(0,E5*(1-前提条件!$D$12)+C6*前提条件!$D$11-I6)</f>
        <v>135</v>
      </c>
      <c r="F6" s="23" t="n">
        <f aca="false">F5*(1-前提条件!$D$15)+I6</f>
        <v>0</v>
      </c>
      <c r="G6" s="23" t="n">
        <f aca="false">E6+F6</f>
        <v>135</v>
      </c>
      <c r="H6" s="24" t="n">
        <f aca="false">前提条件!$D$13*MIN(1,$A6/前提条件!$D$14)</f>
        <v>0.01</v>
      </c>
      <c r="I6" s="23" t="n">
        <f aca="false">E5*H6</f>
        <v>0</v>
      </c>
      <c r="J6" s="25" t="n">
        <f aca="false">F6*前提条件!$D$16</f>
        <v>0</v>
      </c>
      <c r="K6" s="23" t="n">
        <f aca="false">IF($A6&lt;前提条件!$D$18,0,IF($A6&lt;=12,前提条件!$D$19,IF($A6&lt;=24,前提条件!$D$20,前提条件!$D$21)))</f>
        <v>0</v>
      </c>
      <c r="L6" s="23" t="n">
        <f aca="false">L5*(1-前提条件!$D$22)+K6</f>
        <v>0</v>
      </c>
      <c r="M6" s="25" t="n">
        <f aca="false">L6*前提条件!$D$23</f>
        <v>0</v>
      </c>
      <c r="N6" s="26" t="n">
        <f aca="false">J6+M6</f>
        <v>0</v>
      </c>
      <c r="O6" s="25" t="n">
        <f aca="false">IF($A6&lt;=12,前提条件!$D$25,前提条件!$D$26)</f>
        <v>15000</v>
      </c>
      <c r="P6" s="25" t="n">
        <f aca="false">G6*前提条件!$D$27</f>
        <v>405</v>
      </c>
      <c r="Q6" s="25" t="n">
        <f aca="false">F6*前提条件!$D$28</f>
        <v>0</v>
      </c>
      <c r="R6" s="25" t="n">
        <f aca="false">N6*前提条件!$D$30</f>
        <v>0</v>
      </c>
      <c r="S6" s="25" t="n">
        <f aca="false">IF($A6&lt;=12,前提条件!$D$31,IF($A6&lt;=24,前提条件!$D$32,前提条件!$D$33))</f>
        <v>80000</v>
      </c>
      <c r="T6" s="25" t="n">
        <f aca="false">IF(F6&gt;=前提条件!$D$34,前提条件!$D$35,0)</f>
        <v>0</v>
      </c>
      <c r="U6" s="25" t="n">
        <f aca="false">IF(L6&gt;=前提条件!$D$36,前提条件!$D$37,0)</f>
        <v>0</v>
      </c>
      <c r="V6" s="25" t="n">
        <f aca="false">(O6+P6+Q6+R6+S6+T6+U6)*前提条件!$D$38</f>
        <v>9540.5</v>
      </c>
      <c r="W6" s="26" t="n">
        <f aca="false">O6+P6+Q6+R6+S6+T6+U6+V6</f>
        <v>104945.5</v>
      </c>
      <c r="X6" s="26" t="n">
        <f aca="false">N6-W6</f>
        <v>-104945.5</v>
      </c>
      <c r="Y6" s="26" t="n">
        <f aca="false">Y5+X6</f>
        <v>-104945.5</v>
      </c>
    </row>
    <row r="7" customFormat="false" ht="15" hidden="false" customHeight="false" outlineLevel="0" collapsed="false">
      <c r="A7" s="21" t="n">
        <v>2</v>
      </c>
      <c r="B7" s="22" t="n">
        <f aca="false">C7/前提条件!$D$10</f>
        <v>1070</v>
      </c>
      <c r="C7" s="22" t="n">
        <f aca="false">C6*(1+IF($A7&lt;=12,前提条件!$D$7,IF($A7&lt;=24,前提条件!$D$8,前提条件!$D$9)))</f>
        <v>321</v>
      </c>
      <c r="D7" s="22" t="n">
        <f aca="false">D6+C7</f>
        <v>621</v>
      </c>
      <c r="E7" s="23" t="n">
        <f aca="false">MAX(0,E6*(1-前提条件!$D$12)+C7*前提条件!$D$11-I7)</f>
        <v>267.3</v>
      </c>
      <c r="F7" s="23" t="n">
        <f aca="false">F6*(1-前提条件!$D$15)+I7</f>
        <v>2.7</v>
      </c>
      <c r="G7" s="23" t="n">
        <f aca="false">E7+F7</f>
        <v>270</v>
      </c>
      <c r="H7" s="24" t="n">
        <f aca="false">前提条件!$D$13*MIN(1,$A7/前提条件!$D$14)</f>
        <v>0.02</v>
      </c>
      <c r="I7" s="23" t="n">
        <f aca="false">E6*H7</f>
        <v>2.7</v>
      </c>
      <c r="J7" s="25" t="n">
        <f aca="false">F7*前提条件!$D$16</f>
        <v>1674</v>
      </c>
      <c r="K7" s="23" t="n">
        <f aca="false">IF($A7&lt;前提条件!$D$18,0,IF($A7&lt;=12,前提条件!$D$19,IF($A7&lt;=24,前提条件!$D$20,前提条件!$D$21)))</f>
        <v>0</v>
      </c>
      <c r="L7" s="23" t="n">
        <f aca="false">L6*(1-前提条件!$D$22)+K7</f>
        <v>0</v>
      </c>
      <c r="M7" s="25" t="n">
        <f aca="false">L7*前提条件!$D$23</f>
        <v>0</v>
      </c>
      <c r="N7" s="26" t="n">
        <f aca="false">J7+M7</f>
        <v>1674</v>
      </c>
      <c r="O7" s="25" t="n">
        <f aca="false">IF($A7&lt;=12,前提条件!$D$25,前提条件!$D$26)</f>
        <v>15000</v>
      </c>
      <c r="P7" s="25" t="n">
        <f aca="false">G7*前提条件!$D$27</f>
        <v>810</v>
      </c>
      <c r="Q7" s="25" t="n">
        <f aca="false">F7*前提条件!$D$28</f>
        <v>21.6</v>
      </c>
      <c r="R7" s="25" t="n">
        <f aca="false">N7*前提条件!$D$30</f>
        <v>133.92</v>
      </c>
      <c r="S7" s="25" t="n">
        <f aca="false">IF($A7&lt;=12,前提条件!$D$31,IF($A7&lt;=24,前提条件!$D$32,前提条件!$D$33))</f>
        <v>80000</v>
      </c>
      <c r="T7" s="25" t="n">
        <f aca="false">IF(F7&gt;=前提条件!$D$34,前提条件!$D$35,0)</f>
        <v>0</v>
      </c>
      <c r="U7" s="25" t="n">
        <f aca="false">IF(L7&gt;=前提条件!$D$36,前提条件!$D$37,0)</f>
        <v>0</v>
      </c>
      <c r="V7" s="25" t="n">
        <f aca="false">(O7+P7+Q7+R7+S7+T7+U7)*前提条件!$D$38</f>
        <v>9596.552</v>
      </c>
      <c r="W7" s="26" t="n">
        <f aca="false">O7+P7+Q7+R7+S7+T7+U7+V7</f>
        <v>105562.072</v>
      </c>
      <c r="X7" s="26" t="n">
        <f aca="false">N7-W7</f>
        <v>-103888.072</v>
      </c>
      <c r="Y7" s="26" t="n">
        <f aca="false">Y6+X7</f>
        <v>-208833.572</v>
      </c>
    </row>
    <row r="8" customFormat="false" ht="15" hidden="false" customHeight="false" outlineLevel="0" collapsed="false">
      <c r="A8" s="21" t="n">
        <v>3</v>
      </c>
      <c r="B8" s="22" t="n">
        <f aca="false">C8/前提条件!$D$10</f>
        <v>1144.9</v>
      </c>
      <c r="C8" s="22" t="n">
        <f aca="false">C7*(1+IF($A8&lt;=12,前提条件!$D$7,IF($A8&lt;=24,前提条件!$D$8,前提条件!$D$9)))</f>
        <v>343.47</v>
      </c>
      <c r="D8" s="22" t="n">
        <f aca="false">D7+C8</f>
        <v>964.47</v>
      </c>
      <c r="E8" s="23" t="n">
        <f aca="false">MAX(0,E7*(1-前提条件!$D$12)+C8*前提条件!$D$11-I8)</f>
        <v>395.1315</v>
      </c>
      <c r="F8" s="23" t="n">
        <f aca="false">F7*(1-前提条件!$D$15)+I8</f>
        <v>10.611</v>
      </c>
      <c r="G8" s="23" t="n">
        <f aca="false">E8+F8</f>
        <v>405.7425</v>
      </c>
      <c r="H8" s="24" t="n">
        <f aca="false">前提条件!$D$13*MIN(1,$A8/前提条件!$D$14)</f>
        <v>0.03</v>
      </c>
      <c r="I8" s="23" t="n">
        <f aca="false">E7*H8</f>
        <v>8.019</v>
      </c>
      <c r="J8" s="25" t="n">
        <f aca="false">F8*前提条件!$D$16</f>
        <v>6578.82</v>
      </c>
      <c r="K8" s="23" t="n">
        <f aca="false">IF($A8&lt;前提条件!$D$18,0,IF($A8&lt;=12,前提条件!$D$19,IF($A8&lt;=24,前提条件!$D$20,前提条件!$D$21)))</f>
        <v>0</v>
      </c>
      <c r="L8" s="23" t="n">
        <f aca="false">L7*(1-前提条件!$D$22)+K8</f>
        <v>0</v>
      </c>
      <c r="M8" s="25" t="n">
        <f aca="false">L8*前提条件!$D$23</f>
        <v>0</v>
      </c>
      <c r="N8" s="26" t="n">
        <f aca="false">J8+M8</f>
        <v>6578.82</v>
      </c>
      <c r="O8" s="25" t="n">
        <f aca="false">IF($A8&lt;=12,前提条件!$D$25,前提条件!$D$26)</f>
        <v>15000</v>
      </c>
      <c r="P8" s="25" t="n">
        <f aca="false">G8*前提条件!$D$27</f>
        <v>1217.2275</v>
      </c>
      <c r="Q8" s="25" t="n">
        <f aca="false">F8*前提条件!$D$28</f>
        <v>84.888</v>
      </c>
      <c r="R8" s="25" t="n">
        <f aca="false">N8*前提条件!$D$30</f>
        <v>526.3056</v>
      </c>
      <c r="S8" s="25" t="n">
        <f aca="false">IF($A8&lt;=12,前提条件!$D$31,IF($A8&lt;=24,前提条件!$D$32,前提条件!$D$33))</f>
        <v>80000</v>
      </c>
      <c r="T8" s="25" t="n">
        <f aca="false">IF(F8&gt;=前提条件!$D$34,前提条件!$D$35,0)</f>
        <v>0</v>
      </c>
      <c r="U8" s="25" t="n">
        <f aca="false">IF(L8&gt;=前提条件!$D$36,前提条件!$D$37,0)</f>
        <v>0</v>
      </c>
      <c r="V8" s="25" t="n">
        <f aca="false">(O8+P8+Q8+R8+S8+T8+U8)*前提条件!$D$38</f>
        <v>9682.84211</v>
      </c>
      <c r="W8" s="26" t="n">
        <f aca="false">O8+P8+Q8+R8+S8+T8+U8+V8</f>
        <v>106511.26321</v>
      </c>
      <c r="X8" s="26" t="n">
        <f aca="false">N8-W8</f>
        <v>-99932.44321</v>
      </c>
      <c r="Y8" s="26" t="n">
        <f aca="false">Y7+X8</f>
        <v>-308766.01521</v>
      </c>
    </row>
    <row r="9" customFormat="false" ht="15" hidden="false" customHeight="false" outlineLevel="0" collapsed="false">
      <c r="A9" s="21" t="n">
        <v>4</v>
      </c>
      <c r="B9" s="22" t="n">
        <f aca="false">C9/前提条件!$D$10</f>
        <v>1225.043</v>
      </c>
      <c r="C9" s="22" t="n">
        <f aca="false">C8*(1+IF($A9&lt;=12,前提条件!$D$7,IF($A9&lt;=24,前提条件!$D$8,前提条件!$D$9)))</f>
        <v>367.5129</v>
      </c>
      <c r="D9" s="22" t="n">
        <f aca="false">D8+C9</f>
        <v>1331.9829</v>
      </c>
      <c r="E9" s="23" t="n">
        <f aca="false">MAX(0,E8*(1-前提条件!$D$12)+C9*前提条件!$D$11-I9)</f>
        <v>517.04784</v>
      </c>
      <c r="F9" s="23" t="n">
        <f aca="false">F8*(1-前提条件!$D$15)+I9</f>
        <v>25.99182</v>
      </c>
      <c r="G9" s="23" t="n">
        <f aca="false">E9+F9</f>
        <v>543.03966</v>
      </c>
      <c r="H9" s="24" t="n">
        <f aca="false">前提条件!$D$13*MIN(1,$A9/前提条件!$D$14)</f>
        <v>0.04</v>
      </c>
      <c r="I9" s="23" t="n">
        <f aca="false">E8*H9</f>
        <v>15.80526</v>
      </c>
      <c r="J9" s="25" t="n">
        <f aca="false">F9*前提条件!$D$16</f>
        <v>16114.9284</v>
      </c>
      <c r="K9" s="23" t="n">
        <f aca="false">IF($A9&lt;前提条件!$D$18,0,IF($A9&lt;=12,前提条件!$D$19,IF($A9&lt;=24,前提条件!$D$20,前提条件!$D$21)))</f>
        <v>0</v>
      </c>
      <c r="L9" s="23" t="n">
        <f aca="false">L8*(1-前提条件!$D$22)+K9</f>
        <v>0</v>
      </c>
      <c r="M9" s="25" t="n">
        <f aca="false">L9*前提条件!$D$23</f>
        <v>0</v>
      </c>
      <c r="N9" s="26" t="n">
        <f aca="false">J9+M9</f>
        <v>16114.9284</v>
      </c>
      <c r="O9" s="25" t="n">
        <f aca="false">IF($A9&lt;=12,前提条件!$D$25,前提条件!$D$26)</f>
        <v>15000</v>
      </c>
      <c r="P9" s="25" t="n">
        <f aca="false">G9*前提条件!$D$27</f>
        <v>1629.11898</v>
      </c>
      <c r="Q9" s="25" t="n">
        <f aca="false">F9*前提条件!$D$28</f>
        <v>207.93456</v>
      </c>
      <c r="R9" s="25" t="n">
        <f aca="false">N9*前提条件!$D$30</f>
        <v>1289.194272</v>
      </c>
      <c r="S9" s="25" t="n">
        <f aca="false">IF($A9&lt;=12,前提条件!$D$31,IF($A9&lt;=24,前提条件!$D$32,前提条件!$D$33))</f>
        <v>80000</v>
      </c>
      <c r="T9" s="25" t="n">
        <f aca="false">IF(F9&gt;=前提条件!$D$34,前提条件!$D$35,0)</f>
        <v>0</v>
      </c>
      <c r="U9" s="25" t="n">
        <f aca="false">IF(L9&gt;=前提条件!$D$36,前提条件!$D$37,0)</f>
        <v>0</v>
      </c>
      <c r="V9" s="25" t="n">
        <f aca="false">(O9+P9+Q9+R9+S9+T9+U9)*前提条件!$D$38</f>
        <v>9812.6247812</v>
      </c>
      <c r="W9" s="26" t="n">
        <f aca="false">O9+P9+Q9+R9+S9+T9+U9+V9</f>
        <v>107938.8725932</v>
      </c>
      <c r="X9" s="26" t="n">
        <f aca="false">N9-W9</f>
        <v>-91823.9441932</v>
      </c>
      <c r="Y9" s="26" t="n">
        <f aca="false">Y8+X9</f>
        <v>-400589.9594032</v>
      </c>
    </row>
    <row r="10" customFormat="false" ht="15" hidden="false" customHeight="false" outlineLevel="0" collapsed="false">
      <c r="A10" s="21" t="n">
        <v>5</v>
      </c>
      <c r="B10" s="22" t="n">
        <f aca="false">C10/前提条件!$D$10</f>
        <v>1310.79601</v>
      </c>
      <c r="C10" s="22" t="n">
        <f aca="false">C9*(1+IF($A10&lt;=12,前提条件!$D$7,IF($A10&lt;=24,前提条件!$D$8,前提条件!$D$9)))</f>
        <v>393.238803</v>
      </c>
      <c r="D10" s="22" t="n">
        <f aca="false">D9+C10</f>
        <v>1725.221703</v>
      </c>
      <c r="E10" s="23" t="n">
        <f aca="false">MAX(0,E9*(1-前提条件!$D$12)+C10*前提条件!$D$11-I10)</f>
        <v>631.95956055</v>
      </c>
      <c r="F10" s="23" t="n">
        <f aca="false">F9*(1-前提条件!$D$15)+I10</f>
        <v>50.8045392</v>
      </c>
      <c r="G10" s="23" t="n">
        <f aca="false">E10+F10</f>
        <v>682.76409975</v>
      </c>
      <c r="H10" s="24" t="n">
        <f aca="false">前提条件!$D$13*MIN(1,$A10/前提条件!$D$14)</f>
        <v>0.05</v>
      </c>
      <c r="I10" s="23" t="n">
        <f aca="false">E9*H10</f>
        <v>25.852392</v>
      </c>
      <c r="J10" s="25" t="n">
        <f aca="false">F10*前提条件!$D$16</f>
        <v>31498.814304</v>
      </c>
      <c r="K10" s="23" t="n">
        <f aca="false">IF($A10&lt;前提条件!$D$18,0,IF($A10&lt;=12,前提条件!$D$19,IF($A10&lt;=24,前提条件!$D$20,前提条件!$D$21)))</f>
        <v>1</v>
      </c>
      <c r="L10" s="23" t="n">
        <f aca="false">L9*(1-前提条件!$D$22)+K10</f>
        <v>1</v>
      </c>
      <c r="M10" s="25" t="n">
        <f aca="false">L10*前提条件!$D$23</f>
        <v>2600</v>
      </c>
      <c r="N10" s="26" t="n">
        <f aca="false">J10+M10</f>
        <v>34098.814304</v>
      </c>
      <c r="O10" s="25" t="n">
        <f aca="false">IF($A10&lt;=12,前提条件!$D$25,前提条件!$D$26)</f>
        <v>15000</v>
      </c>
      <c r="P10" s="25" t="n">
        <f aca="false">G10*前提条件!$D$27</f>
        <v>2048.29229925</v>
      </c>
      <c r="Q10" s="25" t="n">
        <f aca="false">F10*前提条件!$D$28</f>
        <v>406.4363136</v>
      </c>
      <c r="R10" s="25" t="n">
        <f aca="false">N10*前提条件!$D$30</f>
        <v>2727.90514432</v>
      </c>
      <c r="S10" s="25" t="n">
        <f aca="false">IF($A10&lt;=12,前提条件!$D$31,IF($A10&lt;=24,前提条件!$D$32,前提条件!$D$33))</f>
        <v>80000</v>
      </c>
      <c r="T10" s="25" t="n">
        <f aca="false">IF(F10&gt;=前提条件!$D$34,前提条件!$D$35,0)</f>
        <v>0</v>
      </c>
      <c r="U10" s="25" t="n">
        <f aca="false">IF(L10&gt;=前提条件!$D$36,前提条件!$D$37,0)</f>
        <v>0</v>
      </c>
      <c r="V10" s="25" t="n">
        <f aca="false">(O10+P10+Q10+R10+S10+T10+U10)*前提条件!$D$38</f>
        <v>10018.263375717</v>
      </c>
      <c r="W10" s="26" t="n">
        <f aca="false">O10+P10+Q10+R10+S10+T10+U10+V10</f>
        <v>110200.897132887</v>
      </c>
      <c r="X10" s="26" t="n">
        <f aca="false">N10-W10</f>
        <v>-76102.082828887</v>
      </c>
      <c r="Y10" s="26" t="n">
        <f aca="false">Y9+X10</f>
        <v>-476692.042232087</v>
      </c>
    </row>
    <row r="11" customFormat="false" ht="15" hidden="false" customHeight="false" outlineLevel="0" collapsed="false">
      <c r="A11" s="21" t="n">
        <v>6</v>
      </c>
      <c r="B11" s="22" t="n">
        <f aca="false">C11/前提条件!$D$10</f>
        <v>1402.5517307</v>
      </c>
      <c r="C11" s="22" t="n">
        <f aca="false">C10*(1+IF($A11&lt;=12,前提条件!$D$7,IF($A11&lt;=24,前提条件!$D$8,前提条件!$D$9)))</f>
        <v>420.76551921</v>
      </c>
      <c r="D11" s="22" t="n">
        <f aca="false">D10+C11</f>
        <v>2145.98722221</v>
      </c>
      <c r="E11" s="23" t="n">
        <f aca="false">MAX(0,E10*(1-前提条件!$D$12)+C11*前提条件!$D$11-I11)</f>
        <v>745.4688969285</v>
      </c>
      <c r="F11" s="23" t="n">
        <f aca="false">F10*(1-前提条件!$D$15)+I11</f>
        <v>80.3703356595</v>
      </c>
      <c r="G11" s="23" t="n">
        <f aca="false">E11+F11</f>
        <v>825.839232588</v>
      </c>
      <c r="H11" s="24" t="n">
        <f aca="false">前提条件!$D$13*MIN(1,$A11/前提条件!$D$14)</f>
        <v>0.05</v>
      </c>
      <c r="I11" s="23" t="n">
        <f aca="false">E10*H11</f>
        <v>31.5979780275</v>
      </c>
      <c r="J11" s="25" t="n">
        <f aca="false">F11*前提条件!$D$16</f>
        <v>49829.60810889</v>
      </c>
      <c r="K11" s="23" t="n">
        <f aca="false">IF($A11&lt;前提条件!$D$18,0,IF($A11&lt;=12,前提条件!$D$19,IF($A11&lt;=24,前提条件!$D$20,前提条件!$D$21)))</f>
        <v>1</v>
      </c>
      <c r="L11" s="23" t="n">
        <f aca="false">L10*(1-前提条件!$D$22)+K11</f>
        <v>1.975</v>
      </c>
      <c r="M11" s="25" t="n">
        <f aca="false">L11*前提条件!$D$23</f>
        <v>5135</v>
      </c>
      <c r="N11" s="26" t="n">
        <f aca="false">J11+M11</f>
        <v>54964.60810889</v>
      </c>
      <c r="O11" s="25" t="n">
        <f aca="false">IF($A11&lt;=12,前提条件!$D$25,前提条件!$D$26)</f>
        <v>15000</v>
      </c>
      <c r="P11" s="25" t="n">
        <f aca="false">G11*前提条件!$D$27</f>
        <v>2477.517697764</v>
      </c>
      <c r="Q11" s="25" t="n">
        <f aca="false">F11*前提条件!$D$28</f>
        <v>642.962685276</v>
      </c>
      <c r="R11" s="25" t="n">
        <f aca="false">N11*前提条件!$D$30</f>
        <v>4397.1686487112</v>
      </c>
      <c r="S11" s="25" t="n">
        <f aca="false">IF($A11&lt;=12,前提条件!$D$31,IF($A11&lt;=24,前提条件!$D$32,前提条件!$D$33))</f>
        <v>80000</v>
      </c>
      <c r="T11" s="25" t="n">
        <f aca="false">IF(F11&gt;=前提条件!$D$34,前提条件!$D$35,0)</f>
        <v>0</v>
      </c>
      <c r="U11" s="25" t="n">
        <f aca="false">IF(L11&gt;=前提条件!$D$36,前提条件!$D$37,0)</f>
        <v>0</v>
      </c>
      <c r="V11" s="25" t="n">
        <f aca="false">(O11+P11+Q11+R11+S11+T11+U11)*前提条件!$D$38</f>
        <v>10251.7649031751</v>
      </c>
      <c r="W11" s="26" t="n">
        <f aca="false">O11+P11+Q11+R11+S11+T11+U11+V11</f>
        <v>112769.413934926</v>
      </c>
      <c r="X11" s="26" t="n">
        <f aca="false">N11-W11</f>
        <v>-57804.8058260363</v>
      </c>
      <c r="Y11" s="26" t="n">
        <f aca="false">Y10+X11</f>
        <v>-534496.848058123</v>
      </c>
    </row>
    <row r="12" customFormat="false" ht="15" hidden="false" customHeight="false" outlineLevel="0" collapsed="false">
      <c r="A12" s="21" t="n">
        <v>7</v>
      </c>
      <c r="B12" s="22" t="n">
        <f aca="false">C12/前提条件!$D$10</f>
        <v>1500.730351849</v>
      </c>
      <c r="C12" s="22" t="n">
        <f aca="false">C11*(1+IF($A12&lt;=12,前提条件!$D$7,IF($A12&lt;=24,前提条件!$D$8,前提条件!$D$9)))</f>
        <v>450.2191055547</v>
      </c>
      <c r="D12" s="22" t="n">
        <f aca="false">D11+C12</f>
        <v>2596.2063277647</v>
      </c>
      <c r="E12" s="23" t="n">
        <f aca="false">MAX(0,E11*(1-前提条件!$D$12)+C12*前提条件!$D$11-I12)</f>
        <v>858.611226796695</v>
      </c>
      <c r="F12" s="23" t="n">
        <f aca="false">F11*(1-前提条件!$D$15)+I12</f>
        <v>114.428967079545</v>
      </c>
      <c r="G12" s="23" t="n">
        <f aca="false">E12+F12</f>
        <v>973.04019387624</v>
      </c>
      <c r="H12" s="24" t="n">
        <f aca="false">前提条件!$D$13*MIN(1,$A12/前提条件!$D$14)</f>
        <v>0.05</v>
      </c>
      <c r="I12" s="23" t="n">
        <f aca="false">E11*H12</f>
        <v>37.273444846425</v>
      </c>
      <c r="J12" s="25" t="n">
        <f aca="false">F12*前提条件!$D$16</f>
        <v>70945.9595893179</v>
      </c>
      <c r="K12" s="23" t="n">
        <f aca="false">IF($A12&lt;前提条件!$D$18,0,IF($A12&lt;=12,前提条件!$D$19,IF($A12&lt;=24,前提条件!$D$20,前提条件!$D$21)))</f>
        <v>1</v>
      </c>
      <c r="L12" s="23" t="n">
        <f aca="false">L11*(1-前提条件!$D$22)+K12</f>
        <v>2.925625</v>
      </c>
      <c r="M12" s="25" t="n">
        <f aca="false">L12*前提条件!$D$23</f>
        <v>7606.625</v>
      </c>
      <c r="N12" s="26" t="n">
        <f aca="false">J12+M12</f>
        <v>78552.5845893179</v>
      </c>
      <c r="O12" s="25" t="n">
        <f aca="false">IF($A12&lt;=12,前提条件!$D$25,前提条件!$D$26)</f>
        <v>15000</v>
      </c>
      <c r="P12" s="25" t="n">
        <f aca="false">G12*前提条件!$D$27</f>
        <v>2919.12058162872</v>
      </c>
      <c r="Q12" s="25" t="n">
        <f aca="false">F12*前提条件!$D$28</f>
        <v>915.43173663636</v>
      </c>
      <c r="R12" s="25" t="n">
        <f aca="false">N12*前提条件!$D$30</f>
        <v>6284.20676714543</v>
      </c>
      <c r="S12" s="25" t="n">
        <f aca="false">IF($A12&lt;=12,前提条件!$D$31,IF($A12&lt;=24,前提条件!$D$32,前提条件!$D$33))</f>
        <v>80000</v>
      </c>
      <c r="T12" s="25" t="n">
        <f aca="false">IF(F12&gt;=前提条件!$D$34,前提条件!$D$35,0)</f>
        <v>0</v>
      </c>
      <c r="U12" s="25" t="n">
        <f aca="false">IF(L12&gt;=前提条件!$D$36,前提条件!$D$37,0)</f>
        <v>0</v>
      </c>
      <c r="V12" s="25" t="n">
        <f aca="false">(O12+P12+Q12+R12+S12+T12+U12)*前提条件!$D$38</f>
        <v>10511.8759085411</v>
      </c>
      <c r="W12" s="26" t="n">
        <f aca="false">O12+P12+Q12+R12+S12+T12+U12+V12</f>
        <v>115630.634993952</v>
      </c>
      <c r="X12" s="26" t="n">
        <f aca="false">N12-W12</f>
        <v>-37078.0504046337</v>
      </c>
      <c r="Y12" s="26" t="n">
        <f aca="false">Y11+X12</f>
        <v>-571574.898462757</v>
      </c>
    </row>
    <row r="13" customFormat="false" ht="15" hidden="false" customHeight="false" outlineLevel="0" collapsed="false">
      <c r="A13" s="21" t="n">
        <v>8</v>
      </c>
      <c r="B13" s="22" t="n">
        <f aca="false">C13/前提条件!$D$10</f>
        <v>1605.78147647843</v>
      </c>
      <c r="C13" s="22" t="n">
        <f aca="false">C12*(1+IF($A13&lt;=12,前提条件!$D$7,IF($A13&lt;=24,前提条件!$D$8,前提条件!$D$9)))</f>
        <v>481.734442943529</v>
      </c>
      <c r="D13" s="22" t="n">
        <f aca="false">D12+C13</f>
        <v>3077.94077070823</v>
      </c>
      <c r="E13" s="23" t="n">
        <f aca="false">MAX(0,E12*(1-前提条件!$D$12)+C13*前提条件!$D$11-I13)</f>
        <v>972.35837890568</v>
      </c>
      <c r="F13" s="23" t="n">
        <f aca="false">F12*(1-前提条件!$D$15)+I13</f>
        <v>152.782369736198</v>
      </c>
      <c r="G13" s="23" t="n">
        <f aca="false">E13+F13</f>
        <v>1125.14074864188</v>
      </c>
      <c r="H13" s="24" t="n">
        <f aca="false">前提条件!$D$13*MIN(1,$A13/前提条件!$D$14)</f>
        <v>0.05</v>
      </c>
      <c r="I13" s="23" t="n">
        <f aca="false">E12*H13</f>
        <v>42.9305613398348</v>
      </c>
      <c r="J13" s="25" t="n">
        <f aca="false">F13*前提条件!$D$16</f>
        <v>94725.0692364427</v>
      </c>
      <c r="K13" s="23" t="n">
        <f aca="false">IF($A13&lt;前提条件!$D$18,0,IF($A13&lt;=12,前提条件!$D$19,IF($A13&lt;=24,前提条件!$D$20,前提条件!$D$21)))</f>
        <v>1</v>
      </c>
      <c r="L13" s="23" t="n">
        <f aca="false">L12*(1-前提条件!$D$22)+K13</f>
        <v>3.852484375</v>
      </c>
      <c r="M13" s="25" t="n">
        <f aca="false">L13*前提条件!$D$23</f>
        <v>10016.459375</v>
      </c>
      <c r="N13" s="26" t="n">
        <f aca="false">J13+M13</f>
        <v>104741.528611443</v>
      </c>
      <c r="O13" s="25" t="n">
        <f aca="false">IF($A13&lt;=12,前提条件!$D$25,前提条件!$D$26)</f>
        <v>15000</v>
      </c>
      <c r="P13" s="25" t="n">
        <f aca="false">G13*前提条件!$D$27</f>
        <v>3375.42224592563</v>
      </c>
      <c r="Q13" s="25" t="n">
        <f aca="false">F13*前提条件!$D$28</f>
        <v>1222.25895788958</v>
      </c>
      <c r="R13" s="25" t="n">
        <f aca="false">N13*前提条件!$D$30</f>
        <v>8379.32228891542</v>
      </c>
      <c r="S13" s="25" t="n">
        <f aca="false">IF($A13&lt;=12,前提条件!$D$31,IF($A13&lt;=24,前提条件!$D$32,前提条件!$D$33))</f>
        <v>80000</v>
      </c>
      <c r="T13" s="25" t="n">
        <f aca="false">IF(F13&gt;=前提条件!$D$34,前提条件!$D$35,0)</f>
        <v>0</v>
      </c>
      <c r="U13" s="25" t="n">
        <f aca="false">IF(L13&gt;=前提条件!$D$36,前提条件!$D$37,0)</f>
        <v>0</v>
      </c>
      <c r="V13" s="25" t="n">
        <f aca="false">(O13+P13+Q13+R13+S13+T13+U13)*前提条件!$D$38</f>
        <v>10797.7003492731</v>
      </c>
      <c r="W13" s="26" t="n">
        <f aca="false">O13+P13+Q13+R13+S13+T13+U13+V13</f>
        <v>118774.703842004</v>
      </c>
      <c r="X13" s="26" t="n">
        <f aca="false">N13-W13</f>
        <v>-14033.175230561</v>
      </c>
      <c r="Y13" s="26" t="n">
        <f aca="false">Y12+X13</f>
        <v>-585608.073693318</v>
      </c>
    </row>
    <row r="14" customFormat="false" ht="15" hidden="false" customHeight="false" outlineLevel="0" collapsed="false">
      <c r="A14" s="21" t="n">
        <v>9</v>
      </c>
      <c r="B14" s="22" t="n">
        <f aca="false">C14/前提条件!$D$10</f>
        <v>1718.18617983192</v>
      </c>
      <c r="C14" s="22" t="n">
        <f aca="false">C13*(1+IF($A14&lt;=12,前提条件!$D$7,IF($A14&lt;=24,前提条件!$D$8,前提条件!$D$9)))</f>
        <v>515.455853949576</v>
      </c>
      <c r="D14" s="22" t="n">
        <f aca="false">D13+C14</f>
        <v>3593.39662465781</v>
      </c>
      <c r="E14" s="23" t="n">
        <f aca="false">MAX(0,E13*(1-前提条件!$D$12)+C14*前提条件!$D$11-I14)</f>
        <v>1087.63050771431</v>
      </c>
      <c r="F14" s="23" t="n">
        <f aca="false">F13*(1-前提条件!$D$15)+I14</f>
        <v>195.288993892034</v>
      </c>
      <c r="G14" s="23" t="n">
        <f aca="false">E14+F14</f>
        <v>1282.91950160634</v>
      </c>
      <c r="H14" s="24" t="n">
        <f aca="false">前提条件!$D$13*MIN(1,$A14/前提条件!$D$14)</f>
        <v>0.05</v>
      </c>
      <c r="I14" s="23" t="n">
        <f aca="false">E13*H14</f>
        <v>48.617918945284</v>
      </c>
      <c r="J14" s="25" t="n">
        <f aca="false">F14*前提条件!$D$16</f>
        <v>121079.176213061</v>
      </c>
      <c r="K14" s="23" t="n">
        <f aca="false">IF($A14&lt;前提条件!$D$18,0,IF($A14&lt;=12,前提条件!$D$19,IF($A14&lt;=24,前提条件!$D$20,前提条件!$D$21)))</f>
        <v>1</v>
      </c>
      <c r="L14" s="23" t="n">
        <f aca="false">L13*(1-前提条件!$D$22)+K14</f>
        <v>4.756172265625</v>
      </c>
      <c r="M14" s="25" t="n">
        <f aca="false">L14*前提条件!$D$23</f>
        <v>12366.047890625</v>
      </c>
      <c r="N14" s="26" t="n">
        <f aca="false">J14+M14</f>
        <v>133445.224103686</v>
      </c>
      <c r="O14" s="25" t="n">
        <f aca="false">IF($A14&lt;=12,前提条件!$D$25,前提条件!$D$26)</f>
        <v>15000</v>
      </c>
      <c r="P14" s="25" t="n">
        <f aca="false">G14*前提条件!$D$27</f>
        <v>3848.75850481902</v>
      </c>
      <c r="Q14" s="25" t="n">
        <f aca="false">F14*前提条件!$D$28</f>
        <v>1562.31195113627</v>
      </c>
      <c r="R14" s="25" t="n">
        <f aca="false">N14*前提条件!$D$30</f>
        <v>10675.6179282949</v>
      </c>
      <c r="S14" s="25" t="n">
        <f aca="false">IF($A14&lt;=12,前提条件!$D$31,IF($A14&lt;=24,前提条件!$D$32,前提条件!$D$33))</f>
        <v>80000</v>
      </c>
      <c r="T14" s="25" t="n">
        <f aca="false">IF(F14&gt;=前提条件!$D$34,前提条件!$D$35,0)</f>
        <v>0</v>
      </c>
      <c r="U14" s="25" t="n">
        <f aca="false">IF(L14&gt;=前提条件!$D$36,前提条件!$D$37,0)</f>
        <v>0</v>
      </c>
      <c r="V14" s="25" t="n">
        <f aca="false">(O14+P14+Q14+R14+S14+T14+U14)*前提条件!$D$38</f>
        <v>11108.668838425</v>
      </c>
      <c r="W14" s="26" t="n">
        <f aca="false">O14+P14+Q14+R14+S14+T14+U14+V14</f>
        <v>122195.357222675</v>
      </c>
      <c r="X14" s="26" t="n">
        <f aca="false">N14-W14</f>
        <v>11249.8668810109</v>
      </c>
      <c r="Y14" s="26" t="n">
        <f aca="false">Y13+X14</f>
        <v>-574358.206812307</v>
      </c>
    </row>
    <row r="15" customFormat="false" ht="15" hidden="false" customHeight="false" outlineLevel="0" collapsed="false">
      <c r="A15" s="21" t="n">
        <v>10</v>
      </c>
      <c r="B15" s="22" t="n">
        <f aca="false">C15/前提条件!$D$10</f>
        <v>1838.45921242016</v>
      </c>
      <c r="C15" s="22" t="n">
        <f aca="false">C14*(1+IF($A15&lt;=12,前提条件!$D$7,IF($A15&lt;=24,前提条件!$D$8,前提条件!$D$9)))</f>
        <v>551.537763726047</v>
      </c>
      <c r="D15" s="22" t="n">
        <f aca="false">D14+C15</f>
        <v>4144.93438838385</v>
      </c>
      <c r="E15" s="23" t="n">
        <f aca="false">MAX(0,E14*(1-前提条件!$D$12)+C15*前提条件!$D$11-I15)</f>
        <v>1205.30684046531</v>
      </c>
      <c r="F15" s="23" t="n">
        <f aca="false">F14*(1-前提条件!$D$15)+I15</f>
        <v>241.858959522068</v>
      </c>
      <c r="G15" s="23" t="n">
        <f aca="false">E15+F15</f>
        <v>1447.16579998738</v>
      </c>
      <c r="H15" s="24" t="n">
        <f aca="false">前提条件!$D$13*MIN(1,$A15/前提条件!$D$14)</f>
        <v>0.05</v>
      </c>
      <c r="I15" s="23" t="n">
        <f aca="false">E14*H15</f>
        <v>54.3815253857154</v>
      </c>
      <c r="J15" s="25" t="n">
        <f aca="false">F15*前提条件!$D$16</f>
        <v>149952.554903682</v>
      </c>
      <c r="K15" s="23" t="n">
        <f aca="false">IF($A15&lt;前提条件!$D$18,0,IF($A15&lt;=12,前提条件!$D$19,IF($A15&lt;=24,前提条件!$D$20,前提条件!$D$21)))</f>
        <v>1</v>
      </c>
      <c r="L15" s="23" t="n">
        <f aca="false">L14*(1-前提条件!$D$22)+K15</f>
        <v>5.63726795898438</v>
      </c>
      <c r="M15" s="25" t="n">
        <f aca="false">L15*前提条件!$D$23</f>
        <v>14656.8966933594</v>
      </c>
      <c r="N15" s="26" t="n">
        <f aca="false">J15+M15</f>
        <v>164609.451597042</v>
      </c>
      <c r="O15" s="25" t="n">
        <f aca="false">IF($A15&lt;=12,前提条件!$D$25,前提条件!$D$26)</f>
        <v>15000</v>
      </c>
      <c r="P15" s="25" t="n">
        <f aca="false">G15*前提条件!$D$27</f>
        <v>4341.49739996214</v>
      </c>
      <c r="Q15" s="25" t="n">
        <f aca="false">F15*前提条件!$D$28</f>
        <v>1934.87167617654</v>
      </c>
      <c r="R15" s="25" t="n">
        <f aca="false">N15*前提条件!$D$30</f>
        <v>13168.7561277633</v>
      </c>
      <c r="S15" s="25" t="n">
        <f aca="false">IF($A15&lt;=12,前提条件!$D$31,IF($A15&lt;=24,前提条件!$D$32,前提条件!$D$33))</f>
        <v>80000</v>
      </c>
      <c r="T15" s="25" t="n">
        <f aca="false">IF(F15&gt;=前提条件!$D$34,前提条件!$D$35,0)</f>
        <v>0</v>
      </c>
      <c r="U15" s="25" t="n">
        <f aca="false">IF(L15&gt;=前提条件!$D$36,前提条件!$D$37,0)</f>
        <v>0</v>
      </c>
      <c r="V15" s="25" t="n">
        <f aca="false">(O15+P15+Q15+R15+S15+T15+U15)*前提条件!$D$38</f>
        <v>11444.5125203902</v>
      </c>
      <c r="W15" s="26" t="n">
        <f aca="false">O15+P15+Q15+R15+S15+T15+U15+V15</f>
        <v>125889.637724292</v>
      </c>
      <c r="X15" s="26" t="n">
        <f aca="false">N15-W15</f>
        <v>38719.8138727493</v>
      </c>
      <c r="Y15" s="26" t="n">
        <f aca="false">Y14+X15</f>
        <v>-535638.392939558</v>
      </c>
    </row>
    <row r="16" customFormat="false" ht="15" hidden="false" customHeight="false" outlineLevel="0" collapsed="false">
      <c r="A16" s="21" t="n">
        <v>11</v>
      </c>
      <c r="B16" s="22" t="n">
        <f aca="false">C16/前提条件!$D$10</f>
        <v>1967.15135728957</v>
      </c>
      <c r="C16" s="22" t="n">
        <f aca="false">C15*(1+IF($A16&lt;=12,前提条件!$D$7,IF($A16&lt;=24,前提条件!$D$8,前提条件!$D$9)))</f>
        <v>590.14540718687</v>
      </c>
      <c r="D16" s="22" t="n">
        <f aca="false">D15+C16</f>
        <v>4735.07979557072</v>
      </c>
      <c r="E16" s="23" t="n">
        <f aca="false">MAX(0,E15*(1-前提条件!$D$12)+C16*前提条件!$D$11-I16)</f>
        <v>1326.23545284357</v>
      </c>
      <c r="F16" s="23" t="n">
        <f aca="false">F15*(1-前提条件!$D$15)+I16</f>
        <v>292.449943164451</v>
      </c>
      <c r="G16" s="23" t="n">
        <f aca="false">E16+F16</f>
        <v>1618.68539600802</v>
      </c>
      <c r="H16" s="24" t="n">
        <f aca="false">前提条件!$D$13*MIN(1,$A16/前提条件!$D$14)</f>
        <v>0.05</v>
      </c>
      <c r="I16" s="23" t="n">
        <f aca="false">E15*H16</f>
        <v>60.2653420232656</v>
      </c>
      <c r="J16" s="25" t="n">
        <f aca="false">F16*前提条件!$D$16</f>
        <v>181318.96476196</v>
      </c>
      <c r="K16" s="23" t="n">
        <f aca="false">IF($A16&lt;前提条件!$D$18,0,IF($A16&lt;=12,前提条件!$D$19,IF($A16&lt;=24,前提条件!$D$20,前提条件!$D$21)))</f>
        <v>1</v>
      </c>
      <c r="L16" s="23" t="n">
        <f aca="false">L15*(1-前提条件!$D$22)+K16</f>
        <v>6.49633626000977</v>
      </c>
      <c r="M16" s="25" t="n">
        <f aca="false">L16*前提条件!$D$23</f>
        <v>16890.4742760254</v>
      </c>
      <c r="N16" s="26" t="n">
        <f aca="false">J16+M16</f>
        <v>198209.439037985</v>
      </c>
      <c r="O16" s="25" t="n">
        <f aca="false">IF($A16&lt;=12,前提条件!$D$25,前提条件!$D$26)</f>
        <v>15000</v>
      </c>
      <c r="P16" s="25" t="n">
        <f aca="false">G16*前提条件!$D$27</f>
        <v>4856.05618802405</v>
      </c>
      <c r="Q16" s="25" t="n">
        <f aca="false">F16*前提条件!$D$28</f>
        <v>2339.59954531561</v>
      </c>
      <c r="R16" s="25" t="n">
        <f aca="false">N16*前提条件!$D$30</f>
        <v>15856.7551230388</v>
      </c>
      <c r="S16" s="25" t="n">
        <f aca="false">IF($A16&lt;=12,前提条件!$D$31,IF($A16&lt;=24,前提条件!$D$32,前提条件!$D$33))</f>
        <v>80000</v>
      </c>
      <c r="T16" s="25" t="n">
        <f aca="false">IF(F16&gt;=前提条件!$D$34,前提条件!$D$35,0)</f>
        <v>0</v>
      </c>
      <c r="U16" s="25" t="n">
        <f aca="false">IF(L16&gt;=前提条件!$D$36,前提条件!$D$37,0)</f>
        <v>0</v>
      </c>
      <c r="V16" s="25" t="n">
        <f aca="false">(O16+P16+Q16+R16+S16+T16+U16)*前提条件!$D$38</f>
        <v>11805.2410856378</v>
      </c>
      <c r="W16" s="26" t="n">
        <f aca="false">O16+P16+Q16+R16+S16+T16+U16+V16</f>
        <v>129857.651942016</v>
      </c>
      <c r="X16" s="26" t="n">
        <f aca="false">N16-W16</f>
        <v>68351.7870959686</v>
      </c>
      <c r="Y16" s="26" t="n">
        <f aca="false">Y15+X16</f>
        <v>-467286.605843589</v>
      </c>
    </row>
    <row r="17" customFormat="false" ht="15" hidden="false" customHeight="false" outlineLevel="0" collapsed="false">
      <c r="A17" s="27" t="n">
        <v>12</v>
      </c>
      <c r="B17" s="28" t="n">
        <f aca="false">C17/前提条件!$D$10</f>
        <v>2104.85195229984</v>
      </c>
      <c r="C17" s="28" t="n">
        <f aca="false">C16*(1+IF($A17&lt;=12,前提条件!$D$7,IF($A17&lt;=24,前提条件!$D$8,前提条件!$D$9)))</f>
        <v>631.455585689951</v>
      </c>
      <c r="D17" s="28" t="n">
        <f aca="false">D16+C17</f>
        <v>5366.53538126067</v>
      </c>
      <c r="E17" s="29" t="n">
        <f aca="false">MAX(0,E16*(1-前提条件!$D$12)+C17*前提条件!$D$11-I17)</f>
        <v>1451.24221206282</v>
      </c>
      <c r="F17" s="29" t="n">
        <f aca="false">F16*(1-前提条件!$D$15)+I17</f>
        <v>347.063718080051</v>
      </c>
      <c r="G17" s="29" t="n">
        <f aca="false">E17+F17</f>
        <v>1798.30593014287</v>
      </c>
      <c r="H17" s="30" t="n">
        <f aca="false">前提条件!$D$13*MIN(1,$A17/前提条件!$D$14)</f>
        <v>0.05</v>
      </c>
      <c r="I17" s="29" t="n">
        <f aca="false">E16*H17</f>
        <v>66.3117726421783</v>
      </c>
      <c r="J17" s="31" t="n">
        <f aca="false">F17*前提条件!$D$16</f>
        <v>215179.505209632</v>
      </c>
      <c r="K17" s="29" t="n">
        <f aca="false">IF($A17&lt;前提条件!$D$18,0,IF($A17&lt;=12,前提条件!$D$19,IF($A17&lt;=24,前提条件!$D$20,前提条件!$D$21)))</f>
        <v>1</v>
      </c>
      <c r="L17" s="29" t="n">
        <f aca="false">L16*(1-前提条件!$D$22)+K17</f>
        <v>7.33392785350952</v>
      </c>
      <c r="M17" s="31" t="n">
        <f aca="false">L17*前提条件!$D$23</f>
        <v>19068.2124191248</v>
      </c>
      <c r="N17" s="32" t="n">
        <f aca="false">J17+M17</f>
        <v>234247.717628756</v>
      </c>
      <c r="O17" s="31" t="n">
        <f aca="false">IF($A17&lt;=12,前提条件!$D$25,前提条件!$D$26)</f>
        <v>15000</v>
      </c>
      <c r="P17" s="31" t="n">
        <f aca="false">G17*前提条件!$D$27</f>
        <v>5394.9177904286</v>
      </c>
      <c r="Q17" s="31" t="n">
        <f aca="false">F17*前提条件!$D$28</f>
        <v>2776.50974464041</v>
      </c>
      <c r="R17" s="31" t="n">
        <f aca="false">N17*前提条件!$D$30</f>
        <v>18739.8174103005</v>
      </c>
      <c r="S17" s="31" t="n">
        <f aca="false">IF($A17&lt;=12,前提条件!$D$31,IF($A17&lt;=24,前提条件!$D$32,前提条件!$D$33))</f>
        <v>80000</v>
      </c>
      <c r="T17" s="31" t="n">
        <f aca="false">IF(F17&gt;=前提条件!$D$34,前提条件!$D$35,0)</f>
        <v>0</v>
      </c>
      <c r="U17" s="31" t="n">
        <f aca="false">IF(L17&gt;=前提条件!$D$36,前提条件!$D$37,0)</f>
        <v>0</v>
      </c>
      <c r="V17" s="31" t="n">
        <f aca="false">(O17+P17+Q17+R17+S17+T17+U17)*前提条件!$D$38</f>
        <v>12191.124494537</v>
      </c>
      <c r="W17" s="32" t="n">
        <f aca="false">O17+P17+Q17+R17+S17+T17+U17+V17</f>
        <v>134102.369439907</v>
      </c>
      <c r="X17" s="32" t="n">
        <f aca="false">N17-W17</f>
        <v>100145.34818885</v>
      </c>
      <c r="Y17" s="32" t="n">
        <f aca="false">Y16+X17</f>
        <v>-367141.257654739</v>
      </c>
    </row>
    <row r="18" customFormat="false" ht="15" hidden="false" customHeight="false" outlineLevel="0" collapsed="false">
      <c r="A18" s="21" t="n">
        <v>13</v>
      </c>
      <c r="B18" s="22" t="n">
        <f aca="false">C18/前提条件!$D$10</f>
        <v>2189.04603039183</v>
      </c>
      <c r="C18" s="22" t="n">
        <f aca="false">C17*(1+IF($A18&lt;=12,前提条件!$D$7,IF($A18&lt;=24,前提条件!$D$8,前提条件!$D$9)))</f>
        <v>656.713809117549</v>
      </c>
      <c r="D18" s="22" t="n">
        <f aca="false">D17+C18</f>
        <v>6023.24919037822</v>
      </c>
      <c r="E18" s="23" t="n">
        <f aca="false">MAX(0,E17*(1-前提条件!$D$12)+C18*前提条件!$D$11-I18)</f>
        <v>1572.61436071817</v>
      </c>
      <c r="F18" s="23" t="n">
        <f aca="false">F17*(1-前提条件!$D$15)+I18</f>
        <v>405.74327995999</v>
      </c>
      <c r="G18" s="23" t="n">
        <f aca="false">E18+F18</f>
        <v>1978.35764067816</v>
      </c>
      <c r="H18" s="24" t="n">
        <f aca="false">前提条件!$D$13*MIN(1,$A18/前提条件!$D$14)</f>
        <v>0.05</v>
      </c>
      <c r="I18" s="23" t="n">
        <f aca="false">E17*H18</f>
        <v>72.5621106031408</v>
      </c>
      <c r="J18" s="25" t="n">
        <f aca="false">F18*前提条件!$D$16</f>
        <v>251560.833575194</v>
      </c>
      <c r="K18" s="23" t="n">
        <f aca="false">IF($A18&lt;前提条件!$D$18,0,IF($A18&lt;=12,前提条件!$D$19,IF($A18&lt;=24,前提条件!$D$20,前提条件!$D$21)))</f>
        <v>1.6</v>
      </c>
      <c r="L18" s="23" t="n">
        <f aca="false">L17*(1-前提条件!$D$22)+K18</f>
        <v>8.75057965717178</v>
      </c>
      <c r="M18" s="25" t="n">
        <f aca="false">L18*前提条件!$D$23</f>
        <v>22751.5071086466</v>
      </c>
      <c r="N18" s="26" t="n">
        <f aca="false">J18+M18</f>
        <v>274312.34068384</v>
      </c>
      <c r="O18" s="25" t="n">
        <f aca="false">IF($A18&lt;=12,前提条件!$D$25,前提条件!$D$26)</f>
        <v>30000</v>
      </c>
      <c r="P18" s="25" t="n">
        <f aca="false">G18*前提条件!$D$27</f>
        <v>5935.07292203449</v>
      </c>
      <c r="Q18" s="25" t="n">
        <f aca="false">F18*前提条件!$D$28</f>
        <v>3245.94623967992</v>
      </c>
      <c r="R18" s="25" t="n">
        <f aca="false">N18*前提条件!$D$30</f>
        <v>21944.9872547072</v>
      </c>
      <c r="S18" s="25" t="n">
        <f aca="false">IF($A18&lt;=12,前提条件!$D$31,IF($A18&lt;=24,前提条件!$D$32,前提条件!$D$33))</f>
        <v>100000</v>
      </c>
      <c r="T18" s="25" t="n">
        <f aca="false">IF(F18&gt;=前提条件!$D$34,前提条件!$D$35,0)</f>
        <v>0</v>
      </c>
      <c r="U18" s="25" t="n">
        <f aca="false">IF(L18&gt;=前提条件!$D$36,前提条件!$D$37,0)</f>
        <v>0</v>
      </c>
      <c r="V18" s="25" t="n">
        <f aca="false">(O18+P18+Q18+R18+S18+T18+U18)*前提条件!$D$38</f>
        <v>16112.6006416422</v>
      </c>
      <c r="W18" s="26" t="n">
        <f aca="false">O18+P18+Q18+R18+S18+T18+U18+V18</f>
        <v>177238.607058064</v>
      </c>
      <c r="X18" s="26" t="n">
        <f aca="false">N18-W18</f>
        <v>97073.7336257766</v>
      </c>
      <c r="Y18" s="26" t="n">
        <f aca="false">Y17+X18</f>
        <v>-270067.524028963</v>
      </c>
    </row>
    <row r="19" customFormat="false" ht="15" hidden="false" customHeight="false" outlineLevel="0" collapsed="false">
      <c r="A19" s="21" t="n">
        <v>14</v>
      </c>
      <c r="B19" s="22" t="n">
        <f aca="false">C19/前提条件!$D$10</f>
        <v>2276.6078716075</v>
      </c>
      <c r="C19" s="22" t="n">
        <f aca="false">C18*(1+IF($A19&lt;=12,前提条件!$D$7,IF($A19&lt;=24,前提条件!$D$8,前提条件!$D$9)))</f>
        <v>682.982361482251</v>
      </c>
      <c r="D19" s="22" t="n">
        <f aca="false">D18+C19</f>
        <v>6706.23155186047</v>
      </c>
      <c r="E19" s="23" t="n">
        <f aca="false">MAX(0,E18*(1-前提条件!$D$12)+C19*前提条件!$D$11-I19)</f>
        <v>1691.24270009901</v>
      </c>
      <c r="F19" s="23" t="n">
        <f aca="false">F18*(1-前提条件!$D$15)+I19</f>
        <v>468.144266797499</v>
      </c>
      <c r="G19" s="23" t="n">
        <f aca="false">E19+F19</f>
        <v>2159.38696689651</v>
      </c>
      <c r="H19" s="24" t="n">
        <f aca="false">前提条件!$D$13*MIN(1,$A19/前提条件!$D$14)</f>
        <v>0.05</v>
      </c>
      <c r="I19" s="23" t="n">
        <f aca="false">E18*H19</f>
        <v>78.6307180359087</v>
      </c>
      <c r="J19" s="25" t="n">
        <f aca="false">F19*前提条件!$D$16</f>
        <v>290249.445414449</v>
      </c>
      <c r="K19" s="23" t="n">
        <f aca="false">IF($A19&lt;前提条件!$D$18,0,IF($A19&lt;=12,前提条件!$D$19,IF($A19&lt;=24,前提条件!$D$20,前提条件!$D$21)))</f>
        <v>1.6</v>
      </c>
      <c r="L19" s="23" t="n">
        <f aca="false">L18*(1-前提条件!$D$22)+K19</f>
        <v>10.1318151657425</v>
      </c>
      <c r="M19" s="25" t="n">
        <f aca="false">L19*前提条件!$D$23</f>
        <v>26342.7194309305</v>
      </c>
      <c r="N19" s="26" t="n">
        <f aca="false">J19+M19</f>
        <v>316592.16484538</v>
      </c>
      <c r="O19" s="25" t="n">
        <f aca="false">IF($A19&lt;=12,前提条件!$D$25,前提条件!$D$26)</f>
        <v>30000</v>
      </c>
      <c r="P19" s="25" t="n">
        <f aca="false">G19*前提条件!$D$27</f>
        <v>6478.16090068952</v>
      </c>
      <c r="Q19" s="25" t="n">
        <f aca="false">F19*前提条件!$D$28</f>
        <v>3745.15413437999</v>
      </c>
      <c r="R19" s="25" t="n">
        <f aca="false">N19*前提条件!$D$30</f>
        <v>25327.3731876304</v>
      </c>
      <c r="S19" s="25" t="n">
        <f aca="false">IF($A19&lt;=12,前提条件!$D$31,IF($A19&lt;=24,前提条件!$D$32,前提条件!$D$33))</f>
        <v>100000</v>
      </c>
      <c r="T19" s="25" t="n">
        <f aca="false">IF(F19&gt;=前提条件!$D$34,前提条件!$D$35,0)</f>
        <v>0</v>
      </c>
      <c r="U19" s="25" t="n">
        <f aca="false">IF(L19&gt;=前提条件!$D$36,前提条件!$D$37,0)</f>
        <v>80000</v>
      </c>
      <c r="V19" s="25" t="n">
        <f aca="false">(O19+P19+Q19+R19+S19+T19+U19)*前提条件!$D$38</f>
        <v>24555.06882227</v>
      </c>
      <c r="W19" s="26" t="n">
        <f aca="false">O19+P19+Q19+R19+S19+T19+U19+V19</f>
        <v>270105.75704497</v>
      </c>
      <c r="X19" s="26" t="n">
        <f aca="false">N19-W19</f>
        <v>46486.4078004099</v>
      </c>
      <c r="Y19" s="26" t="n">
        <f aca="false">Y18+X19</f>
        <v>-223581.116228553</v>
      </c>
    </row>
    <row r="20" customFormat="false" ht="15" hidden="false" customHeight="false" outlineLevel="0" collapsed="false">
      <c r="A20" s="21" t="n">
        <v>15</v>
      </c>
      <c r="B20" s="22" t="n">
        <f aca="false">C20/前提条件!$D$10</f>
        <v>2367.6721864718</v>
      </c>
      <c r="C20" s="22" t="n">
        <f aca="false">C19*(1+IF($A20&lt;=12,前提条件!$D$7,IF($A20&lt;=24,前提条件!$D$8,前提条件!$D$9)))</f>
        <v>710.301655941541</v>
      </c>
      <c r="D20" s="22" t="n">
        <f aca="false">D19+C20</f>
        <v>7416.53320780201</v>
      </c>
      <c r="E20" s="23" t="n">
        <f aca="false">MAX(0,E19*(1-前提条件!$D$12)+C20*前提条件!$D$11-I20)</f>
        <v>1807.92932126082</v>
      </c>
      <c r="F20" s="23" t="n">
        <f aca="false">F19*(1-前提条件!$D$15)+I20</f>
        <v>533.98063113055</v>
      </c>
      <c r="G20" s="23" t="n">
        <f aca="false">E20+F20</f>
        <v>2341.90995239137</v>
      </c>
      <c r="H20" s="24" t="n">
        <f aca="false">前提条件!$D$13*MIN(1,$A20/前提条件!$D$14)</f>
        <v>0.05</v>
      </c>
      <c r="I20" s="23" t="n">
        <f aca="false">E19*H20</f>
        <v>84.5621350049503</v>
      </c>
      <c r="J20" s="25" t="n">
        <f aca="false">F20*前提条件!$D$16</f>
        <v>331067.991300941</v>
      </c>
      <c r="K20" s="23" t="n">
        <f aca="false">IF($A20&lt;前提条件!$D$18,0,IF($A20&lt;=12,前提条件!$D$19,IF($A20&lt;=24,前提条件!$D$20,前提条件!$D$21)))</f>
        <v>1.6</v>
      </c>
      <c r="L20" s="23" t="n">
        <f aca="false">L19*(1-前提条件!$D$22)+K20</f>
        <v>11.4785197865989</v>
      </c>
      <c r="M20" s="25" t="n">
        <f aca="false">L20*前提条件!$D$23</f>
        <v>29844.1514451572</v>
      </c>
      <c r="N20" s="26" t="n">
        <f aca="false">J20+M20</f>
        <v>360912.142746098</v>
      </c>
      <c r="O20" s="25" t="n">
        <f aca="false">IF($A20&lt;=12,前提条件!$D$25,前提条件!$D$26)</f>
        <v>30000</v>
      </c>
      <c r="P20" s="25" t="n">
        <f aca="false">G20*前提条件!$D$27</f>
        <v>7025.72985717411</v>
      </c>
      <c r="Q20" s="25" t="n">
        <f aca="false">F20*前提条件!$D$28</f>
        <v>4271.8450490444</v>
      </c>
      <c r="R20" s="25" t="n">
        <f aca="false">N20*前提条件!$D$30</f>
        <v>28872.9714196878</v>
      </c>
      <c r="S20" s="25" t="n">
        <f aca="false">IF($A20&lt;=12,前提条件!$D$31,IF($A20&lt;=24,前提条件!$D$32,前提条件!$D$33))</f>
        <v>100000</v>
      </c>
      <c r="T20" s="25" t="n">
        <f aca="false">IF(F20&gt;=前提条件!$D$34,前提条件!$D$35,0)</f>
        <v>50000</v>
      </c>
      <c r="U20" s="25" t="n">
        <f aca="false">IF(L20&gt;=前提条件!$D$36,前提条件!$D$37,0)</f>
        <v>80000</v>
      </c>
      <c r="V20" s="25" t="n">
        <f aca="false">(O20+P20+Q20+R20+S20+T20+U20)*前提条件!$D$38</f>
        <v>30017.0546325906</v>
      </c>
      <c r="W20" s="26" t="n">
        <f aca="false">O20+P20+Q20+R20+S20+T20+U20+V20</f>
        <v>330187.600958497</v>
      </c>
      <c r="X20" s="26" t="n">
        <f aca="false">N20-W20</f>
        <v>30724.541787601</v>
      </c>
      <c r="Y20" s="26" t="n">
        <f aca="false">Y19+X20</f>
        <v>-192856.574440952</v>
      </c>
    </row>
    <row r="21" customFormat="false" ht="15" hidden="false" customHeight="false" outlineLevel="0" collapsed="false">
      <c r="A21" s="21" t="n">
        <v>16</v>
      </c>
      <c r="B21" s="22" t="n">
        <f aca="false">C21/前提条件!$D$10</f>
        <v>2462.37907393068</v>
      </c>
      <c r="C21" s="22" t="n">
        <f aca="false">C20*(1+IF($A21&lt;=12,前提条件!$D$7,IF($A21&lt;=24,前提条件!$D$8,前提条件!$D$9)))</f>
        <v>738.713722179203</v>
      </c>
      <c r="D21" s="22" t="n">
        <f aca="false">D20+C21</f>
        <v>8155.24692998122</v>
      </c>
      <c r="E21" s="23" t="n">
        <f aca="false">MAX(0,E20*(1-前提条件!$D$12)+C21*前提条件!$D$11-I21)</f>
        <v>1923.39897769016</v>
      </c>
      <c r="F21" s="23" t="n">
        <f aca="false">F20*(1-前提条件!$D$15)+I21</f>
        <v>603.017871948369</v>
      </c>
      <c r="G21" s="23" t="n">
        <f aca="false">E21+F21</f>
        <v>2526.41684963853</v>
      </c>
      <c r="H21" s="24" t="n">
        <f aca="false">前提条件!$D$13*MIN(1,$A21/前提条件!$D$14)</f>
        <v>0.05</v>
      </c>
      <c r="I21" s="23" t="n">
        <f aca="false">E20*H21</f>
        <v>90.396466063041</v>
      </c>
      <c r="J21" s="25" t="n">
        <f aca="false">F21*前提条件!$D$16</f>
        <v>373871.080607988</v>
      </c>
      <c r="K21" s="23" t="n">
        <f aca="false">IF($A21&lt;前提条件!$D$18,0,IF($A21&lt;=12,前提条件!$D$19,IF($A21&lt;=24,前提条件!$D$20,前提条件!$D$21)))</f>
        <v>1.6</v>
      </c>
      <c r="L21" s="23" t="n">
        <f aca="false">L20*(1-前提条件!$D$22)+K21</f>
        <v>12.791556791934</v>
      </c>
      <c r="M21" s="25" t="n">
        <f aca="false">L21*前提条件!$D$23</f>
        <v>33258.0476590283</v>
      </c>
      <c r="N21" s="26" t="n">
        <f aca="false">J21+M21</f>
        <v>407129.128267017</v>
      </c>
      <c r="O21" s="25" t="n">
        <f aca="false">IF($A21&lt;=12,前提条件!$D$25,前提条件!$D$26)</f>
        <v>30000</v>
      </c>
      <c r="P21" s="25" t="n">
        <f aca="false">G21*前提条件!$D$27</f>
        <v>7579.25054891559</v>
      </c>
      <c r="Q21" s="25" t="n">
        <f aca="false">F21*前提条件!$D$28</f>
        <v>4824.14297558695</v>
      </c>
      <c r="R21" s="25" t="n">
        <f aca="false">N21*前提条件!$D$30</f>
        <v>32570.3302613613</v>
      </c>
      <c r="S21" s="25" t="n">
        <f aca="false">IF($A21&lt;=12,前提条件!$D$31,IF($A21&lt;=24,前提条件!$D$32,前提条件!$D$33))</f>
        <v>100000</v>
      </c>
      <c r="T21" s="25" t="n">
        <f aca="false">IF(F21&gt;=前提条件!$D$34,前提条件!$D$35,0)</f>
        <v>50000</v>
      </c>
      <c r="U21" s="25" t="n">
        <f aca="false">IF(L21&gt;=前提条件!$D$36,前提条件!$D$37,0)</f>
        <v>80000</v>
      </c>
      <c r="V21" s="25" t="n">
        <f aca="false">(O21+P21+Q21+R21+S21+T21+U21)*前提条件!$D$38</f>
        <v>30497.3723785864</v>
      </c>
      <c r="W21" s="26" t="n">
        <f aca="false">O21+P21+Q21+R21+S21+T21+U21+V21</f>
        <v>335471.09616445</v>
      </c>
      <c r="X21" s="26" t="n">
        <f aca="false">N21-W21</f>
        <v>71658.0321025665</v>
      </c>
      <c r="Y21" s="26" t="n">
        <f aca="false">Y20+X21</f>
        <v>-121198.542338385</v>
      </c>
    </row>
    <row r="22" customFormat="false" ht="15" hidden="false" customHeight="false" outlineLevel="0" collapsed="false">
      <c r="A22" s="21" t="n">
        <v>17</v>
      </c>
      <c r="B22" s="22" t="n">
        <f aca="false">C22/前提条件!$D$10</f>
        <v>2560.8742368879</v>
      </c>
      <c r="C22" s="22" t="n">
        <f aca="false">C21*(1+IF($A22&lt;=12,前提条件!$D$7,IF($A22&lt;=24,前提条件!$D$8,前提条件!$D$9)))</f>
        <v>768.262271066371</v>
      </c>
      <c r="D22" s="22" t="n">
        <f aca="false">D21+C22</f>
        <v>8923.50920104759</v>
      </c>
      <c r="E22" s="23" t="n">
        <f aca="false">MAX(0,E21*(1-前提条件!$D$12)+C22*前提条件!$D$11-I22)</f>
        <v>2038.30912234721</v>
      </c>
      <c r="F22" s="23" t="n">
        <f aca="false">F21*(1-前提条件!$D$15)+I22</f>
        <v>675.067105954942</v>
      </c>
      <c r="G22" s="23" t="n">
        <f aca="false">E22+F22</f>
        <v>2713.37622830215</v>
      </c>
      <c r="H22" s="24" t="n">
        <f aca="false">前提条件!$D$13*MIN(1,$A22/前提条件!$D$14)</f>
        <v>0.05</v>
      </c>
      <c r="I22" s="23" t="n">
        <f aca="false">E21*H22</f>
        <v>96.1699488845081</v>
      </c>
      <c r="J22" s="25" t="n">
        <f aca="false">F22*前提条件!$D$16</f>
        <v>418541.605692064</v>
      </c>
      <c r="K22" s="23" t="n">
        <f aca="false">IF($A22&lt;前提条件!$D$18,0,IF($A22&lt;=12,前提条件!$D$19,IF($A22&lt;=24,前提条件!$D$20,前提条件!$D$21)))</f>
        <v>1.6</v>
      </c>
      <c r="L22" s="23" t="n">
        <f aca="false">L21*(1-前提条件!$D$22)+K22</f>
        <v>14.0717678721356</v>
      </c>
      <c r="M22" s="25" t="n">
        <f aca="false">L22*前提条件!$D$23</f>
        <v>36586.5964675526</v>
      </c>
      <c r="N22" s="26" t="n">
        <f aca="false">J22+M22</f>
        <v>455128.202159617</v>
      </c>
      <c r="O22" s="25" t="n">
        <f aca="false">IF($A22&lt;=12,前提条件!$D$25,前提条件!$D$26)</f>
        <v>30000</v>
      </c>
      <c r="P22" s="25" t="n">
        <f aca="false">G22*前提条件!$D$27</f>
        <v>8140.12868490645</v>
      </c>
      <c r="Q22" s="25" t="n">
        <f aca="false">F22*前提条件!$D$28</f>
        <v>5400.53684763953</v>
      </c>
      <c r="R22" s="25" t="n">
        <f aca="false">N22*前提条件!$D$30</f>
        <v>36410.2561727693</v>
      </c>
      <c r="S22" s="25" t="n">
        <f aca="false">IF($A22&lt;=12,前提条件!$D$31,IF($A22&lt;=24,前提条件!$D$32,前提条件!$D$33))</f>
        <v>100000</v>
      </c>
      <c r="T22" s="25" t="n">
        <f aca="false">IF(F22&gt;=前提条件!$D$34,前提条件!$D$35,0)</f>
        <v>50000</v>
      </c>
      <c r="U22" s="25" t="n">
        <f aca="false">IF(L22&gt;=前提条件!$D$36,前提条件!$D$37,0)</f>
        <v>80000</v>
      </c>
      <c r="V22" s="25" t="n">
        <f aca="false">(O22+P22+Q22+R22+S22+T22+U22)*前提条件!$D$38</f>
        <v>30995.0921705315</v>
      </c>
      <c r="W22" s="26" t="n">
        <f aca="false">O22+P22+Q22+R22+S22+T22+U22+V22</f>
        <v>340946.013875847</v>
      </c>
      <c r="X22" s="26" t="n">
        <f aca="false">N22-W22</f>
        <v>114182.18828377</v>
      </c>
      <c r="Y22" s="26" t="n">
        <f aca="false">Y21+X22</f>
        <v>-7016.35405461537</v>
      </c>
    </row>
    <row r="23" customFormat="false" ht="15" hidden="false" customHeight="false" outlineLevel="0" collapsed="false">
      <c r="A23" s="21" t="n">
        <v>18</v>
      </c>
      <c r="B23" s="22" t="n">
        <f aca="false">C23/前提条件!$D$10</f>
        <v>2663.30920636342</v>
      </c>
      <c r="C23" s="22" t="n">
        <f aca="false">C22*(1+IF($A23&lt;=12,前提条件!$D$7,IF($A23&lt;=24,前提条件!$D$8,前提条件!$D$9)))</f>
        <v>798.992761909026</v>
      </c>
      <c r="D23" s="22" t="n">
        <f aca="false">D22+C23</f>
        <v>9722.50196295661</v>
      </c>
      <c r="E23" s="23" t="n">
        <f aca="false">MAX(0,E22*(1-前提条件!$D$12)+C23*前提条件!$D$11-I23)</f>
        <v>2153.25877052461</v>
      </c>
      <c r="F23" s="23" t="n">
        <f aca="false">F22*(1-前提条件!$D$15)+I23</f>
        <v>749.979877834105</v>
      </c>
      <c r="G23" s="23" t="n">
        <f aca="false">E23+F23</f>
        <v>2903.23864835871</v>
      </c>
      <c r="H23" s="24" t="n">
        <f aca="false">前提条件!$D$13*MIN(1,$A23/前提条件!$D$14)</f>
        <v>0.05</v>
      </c>
      <c r="I23" s="23" t="n">
        <f aca="false">E22*H23</f>
        <v>101.91545611736</v>
      </c>
      <c r="J23" s="25" t="n">
        <f aca="false">F23*前提条件!$D$16</f>
        <v>464987.524257145</v>
      </c>
      <c r="K23" s="23" t="n">
        <f aca="false">IF($A23&lt;前提条件!$D$18,0,IF($A23&lt;=12,前提条件!$D$19,IF($A23&lt;=24,前提条件!$D$20,前提条件!$D$21)))</f>
        <v>1.6</v>
      </c>
      <c r="L23" s="23" t="n">
        <f aca="false">L22*(1-前提条件!$D$22)+K23</f>
        <v>15.3199736753322</v>
      </c>
      <c r="M23" s="25" t="n">
        <f aca="false">L23*前提条件!$D$23</f>
        <v>39831.9315558638</v>
      </c>
      <c r="N23" s="26" t="n">
        <f aca="false">J23+M23</f>
        <v>504819.455813009</v>
      </c>
      <c r="O23" s="25" t="n">
        <f aca="false">IF($A23&lt;=12,前提条件!$D$25,前提条件!$D$26)</f>
        <v>30000</v>
      </c>
      <c r="P23" s="25" t="n">
        <f aca="false">G23*前提条件!$D$27</f>
        <v>8709.71594507613</v>
      </c>
      <c r="Q23" s="25" t="n">
        <f aca="false">F23*前提条件!$D$28</f>
        <v>5999.83902267284</v>
      </c>
      <c r="R23" s="25" t="n">
        <f aca="false">N23*前提条件!$D$30</f>
        <v>40385.5564650407</v>
      </c>
      <c r="S23" s="25" t="n">
        <f aca="false">IF($A23&lt;=12,前提条件!$D$31,IF($A23&lt;=24,前提条件!$D$32,前提条件!$D$33))</f>
        <v>100000</v>
      </c>
      <c r="T23" s="25" t="n">
        <f aca="false">IF(F23&gt;=前提条件!$D$34,前提条件!$D$35,0)</f>
        <v>50000</v>
      </c>
      <c r="U23" s="25" t="n">
        <f aca="false">IF(L23&gt;=前提条件!$D$36,前提条件!$D$37,0)</f>
        <v>80000</v>
      </c>
      <c r="V23" s="25" t="n">
        <f aca="false">(O23+P23+Q23+R23+S23+T23+U23)*前提条件!$D$38</f>
        <v>31509.511143279</v>
      </c>
      <c r="W23" s="26" t="n">
        <f aca="false">O23+P23+Q23+R23+S23+T23+U23+V23</f>
        <v>346604.622576069</v>
      </c>
      <c r="X23" s="26" t="n">
        <f aca="false">N23-W23</f>
        <v>158214.83323694</v>
      </c>
      <c r="Y23" s="26" t="n">
        <f aca="false">Y22+X23</f>
        <v>151198.479182325</v>
      </c>
    </row>
    <row r="24" customFormat="false" ht="15" hidden="false" customHeight="false" outlineLevel="0" collapsed="false">
      <c r="A24" s="21" t="n">
        <v>19</v>
      </c>
      <c r="B24" s="22" t="n">
        <f aca="false">C24/前提条件!$D$10</f>
        <v>2769.84157461796</v>
      </c>
      <c r="C24" s="22" t="n">
        <f aca="false">C23*(1+IF($A24&lt;=12,前提条件!$D$7,IF($A24&lt;=24,前提条件!$D$8,前提条件!$D$9)))</f>
        <v>830.952472385387</v>
      </c>
      <c r="D24" s="22" t="n">
        <f aca="false">D23+C24</f>
        <v>10553.454435342</v>
      </c>
      <c r="E24" s="23" t="n">
        <f aca="false">MAX(0,E23*(1-前提条件!$D$12)+C24*前提条件!$D$11-I24)</f>
        <v>2268.79633063508</v>
      </c>
      <c r="F24" s="23" t="n">
        <f aca="false">F23*(1-前提条件!$D$15)+I24</f>
        <v>827.643621246971</v>
      </c>
      <c r="G24" s="23" t="n">
        <f aca="false">E24+F24</f>
        <v>3096.43995188205</v>
      </c>
      <c r="H24" s="24" t="n">
        <f aca="false">前提条件!$D$13*MIN(1,$A24/前提条件!$D$14)</f>
        <v>0.05</v>
      </c>
      <c r="I24" s="23" t="n">
        <f aca="false">E23*H24</f>
        <v>107.66293852623</v>
      </c>
      <c r="J24" s="25" t="n">
        <f aca="false">F24*前提条件!$D$16</f>
        <v>513139.045173122</v>
      </c>
      <c r="K24" s="23" t="n">
        <f aca="false">IF($A24&lt;前提条件!$D$18,0,IF($A24&lt;=12,前提条件!$D$19,IF($A24&lt;=24,前提条件!$D$20,前提条件!$D$21)))</f>
        <v>1.6</v>
      </c>
      <c r="L24" s="23" t="n">
        <f aca="false">L23*(1-前提条件!$D$22)+K24</f>
        <v>16.5369743334489</v>
      </c>
      <c r="M24" s="25" t="n">
        <f aca="false">L24*前提条件!$D$23</f>
        <v>42996.1332669672</v>
      </c>
      <c r="N24" s="26" t="n">
        <f aca="false">J24+M24</f>
        <v>556135.178440089</v>
      </c>
      <c r="O24" s="25" t="n">
        <f aca="false">IF($A24&lt;=12,前提条件!$D$25,前提条件!$D$26)</f>
        <v>30000</v>
      </c>
      <c r="P24" s="25" t="n">
        <f aca="false">G24*前提条件!$D$27</f>
        <v>9289.31985564614</v>
      </c>
      <c r="Q24" s="25" t="n">
        <f aca="false">F24*前提条件!$D$28</f>
        <v>6621.14896997577</v>
      </c>
      <c r="R24" s="25" t="n">
        <f aca="false">N24*前提条件!$D$30</f>
        <v>44490.8142752071</v>
      </c>
      <c r="S24" s="25" t="n">
        <f aca="false">IF($A24&lt;=12,前提条件!$D$31,IF($A24&lt;=24,前提条件!$D$32,前提条件!$D$33))</f>
        <v>100000</v>
      </c>
      <c r="T24" s="25" t="n">
        <f aca="false">IF(F24&gt;=前提条件!$D$34,前提条件!$D$35,0)</f>
        <v>50000</v>
      </c>
      <c r="U24" s="25" t="n">
        <f aca="false">IF(L24&gt;=前提条件!$D$36,前提条件!$D$37,0)</f>
        <v>80000</v>
      </c>
      <c r="V24" s="25" t="n">
        <f aca="false">(O24+P24+Q24+R24+S24+T24+U24)*前提条件!$D$38</f>
        <v>32040.1283100829</v>
      </c>
      <c r="W24" s="26" t="n">
        <f aca="false">O24+P24+Q24+R24+S24+T24+U24+V24</f>
        <v>352441.411410912</v>
      </c>
      <c r="X24" s="26" t="n">
        <f aca="false">N24-W24</f>
        <v>203693.767029177</v>
      </c>
      <c r="Y24" s="26" t="n">
        <f aca="false">Y23+X24</f>
        <v>354892.246211502</v>
      </c>
    </row>
    <row r="25" customFormat="false" ht="15" hidden="false" customHeight="false" outlineLevel="0" collapsed="false">
      <c r="A25" s="21" t="n">
        <v>20</v>
      </c>
      <c r="B25" s="22" t="n">
        <f aca="false">C25/前提条件!$D$10</f>
        <v>2880.63523760267</v>
      </c>
      <c r="C25" s="22" t="n">
        <f aca="false">C24*(1+IF($A25&lt;=12,前提条件!$D$7,IF($A25&lt;=24,前提条件!$D$8,前提条件!$D$9)))</f>
        <v>864.190571280802</v>
      </c>
      <c r="D25" s="22" t="n">
        <f aca="false">D24+C25</f>
        <v>11417.6450066228</v>
      </c>
      <c r="E25" s="23" t="n">
        <f aca="false">MAX(0,E24*(1-前提条件!$D$12)+C25*前提条件!$D$11-I25)</f>
        <v>2385.42652803523</v>
      </c>
      <c r="F25" s="23" t="n">
        <f aca="false">F24*(1-前提条件!$D$15)+I25</f>
        <v>907.977692928846</v>
      </c>
      <c r="G25" s="23" t="n">
        <f aca="false">E25+F25</f>
        <v>3293.40422096407</v>
      </c>
      <c r="H25" s="24" t="n">
        <f aca="false">前提条件!$D$13*MIN(1,$A25/前提条件!$D$14)</f>
        <v>0.05</v>
      </c>
      <c r="I25" s="23" t="n">
        <f aca="false">E24*H25</f>
        <v>113.439816531754</v>
      </c>
      <c r="J25" s="25" t="n">
        <f aca="false">F25*前提条件!$D$16</f>
        <v>562946.169615884</v>
      </c>
      <c r="K25" s="23" t="n">
        <f aca="false">IF($A25&lt;前提条件!$D$18,0,IF($A25&lt;=12,前提条件!$D$19,IF($A25&lt;=24,前提条件!$D$20,前提条件!$D$21)))</f>
        <v>1.6</v>
      </c>
      <c r="L25" s="23" t="n">
        <f aca="false">L24*(1-前提条件!$D$22)+K25</f>
        <v>17.7235499751127</v>
      </c>
      <c r="M25" s="25" t="n">
        <f aca="false">L25*前提条件!$D$23</f>
        <v>46081.229935293</v>
      </c>
      <c r="N25" s="26" t="n">
        <f aca="false">J25+M25</f>
        <v>609027.399551177</v>
      </c>
      <c r="O25" s="25" t="n">
        <f aca="false">IF($A25&lt;=12,前提条件!$D$25,前提条件!$D$26)</f>
        <v>30000</v>
      </c>
      <c r="P25" s="25" t="n">
        <f aca="false">G25*前提条件!$D$27</f>
        <v>9880.21266289222</v>
      </c>
      <c r="Q25" s="25" t="n">
        <f aca="false">F25*前提条件!$D$28</f>
        <v>7263.82154343077</v>
      </c>
      <c r="R25" s="25" t="n">
        <f aca="false">N25*前提条件!$D$30</f>
        <v>48722.1919640942</v>
      </c>
      <c r="S25" s="25" t="n">
        <f aca="false">IF($A25&lt;=12,前提条件!$D$31,IF($A25&lt;=24,前提条件!$D$32,前提条件!$D$33))</f>
        <v>100000</v>
      </c>
      <c r="T25" s="25" t="n">
        <f aca="false">IF(F25&gt;=前提条件!$D$34,前提条件!$D$35,0)</f>
        <v>50000</v>
      </c>
      <c r="U25" s="25" t="n">
        <f aca="false">IF(L25&gt;=前提条件!$D$36,前提条件!$D$37,0)</f>
        <v>80000</v>
      </c>
      <c r="V25" s="25" t="n">
        <f aca="false">(O25+P25+Q25+R25+S25+T25+U25)*前提条件!$D$38</f>
        <v>32586.6226170417</v>
      </c>
      <c r="W25" s="26" t="n">
        <f aca="false">O25+P25+Q25+R25+S25+T25+U25+V25</f>
        <v>358452.848787459</v>
      </c>
      <c r="X25" s="26" t="n">
        <f aca="false">N25-W25</f>
        <v>250574.550763718</v>
      </c>
      <c r="Y25" s="26" t="n">
        <f aca="false">Y24+X25</f>
        <v>605466.79697522</v>
      </c>
    </row>
    <row r="26" customFormat="false" ht="15" hidden="false" customHeight="false" outlineLevel="0" collapsed="false">
      <c r="A26" s="21" t="n">
        <v>21</v>
      </c>
      <c r="B26" s="22" t="n">
        <f aca="false">C26/前提条件!$D$10</f>
        <v>2995.86064710678</v>
      </c>
      <c r="C26" s="22" t="n">
        <f aca="false">C25*(1+IF($A26&lt;=12,前提条件!$D$7,IF($A26&lt;=24,前提条件!$D$8,前提条件!$D$9)))</f>
        <v>898.758194132034</v>
      </c>
      <c r="D26" s="22" t="n">
        <f aca="false">D25+C26</f>
        <v>12316.4032007548</v>
      </c>
      <c r="E26" s="23" t="n">
        <f aca="false">MAX(0,E25*(1-前提条件!$D$12)+C26*前提条件!$D$11-I26)</f>
        <v>2503.61653203042</v>
      </c>
      <c r="F26" s="23" t="n">
        <f aca="false">F25*(1-前提条件!$D$15)+I26</f>
        <v>990.929911613453</v>
      </c>
      <c r="G26" s="23" t="n">
        <f aca="false">E26+F26</f>
        <v>3494.54644364387</v>
      </c>
      <c r="H26" s="24" t="n">
        <f aca="false">前提条件!$D$13*MIN(1,$A26/前提条件!$D$14)</f>
        <v>0.05</v>
      </c>
      <c r="I26" s="23" t="n">
        <f aca="false">E25*H26</f>
        <v>119.271326401761</v>
      </c>
      <c r="J26" s="25" t="n">
        <f aca="false">F26*前提条件!$D$16</f>
        <v>614376.545200341</v>
      </c>
      <c r="K26" s="23" t="n">
        <f aca="false">IF($A26&lt;前提条件!$D$18,0,IF($A26&lt;=12,前提条件!$D$19,IF($A26&lt;=24,前提条件!$D$20,前提条件!$D$21)))</f>
        <v>1.6</v>
      </c>
      <c r="L26" s="23" t="n">
        <f aca="false">L25*(1-前提条件!$D$22)+K26</f>
        <v>18.8804612257349</v>
      </c>
      <c r="M26" s="25" t="n">
        <f aca="false">L26*前提条件!$D$23</f>
        <v>49089.1991869107</v>
      </c>
      <c r="N26" s="26" t="n">
        <f aca="false">J26+M26</f>
        <v>663465.744387252</v>
      </c>
      <c r="O26" s="25" t="n">
        <f aca="false">IF($A26&lt;=12,前提条件!$D$25,前提条件!$D$26)</f>
        <v>30000</v>
      </c>
      <c r="P26" s="25" t="n">
        <f aca="false">G26*前提条件!$D$27</f>
        <v>10483.6393309316</v>
      </c>
      <c r="Q26" s="25" t="n">
        <f aca="false">F26*前提条件!$D$28</f>
        <v>7927.43929290763</v>
      </c>
      <c r="R26" s="25" t="n">
        <f aca="false">N26*前提条件!$D$30</f>
        <v>53077.2595509801</v>
      </c>
      <c r="S26" s="25" t="n">
        <f aca="false">IF($A26&lt;=12,前提条件!$D$31,IF($A26&lt;=24,前提条件!$D$32,前提条件!$D$33))</f>
        <v>100000</v>
      </c>
      <c r="T26" s="25" t="n">
        <f aca="false">IF(F26&gt;=前提条件!$D$34,前提条件!$D$35,0)</f>
        <v>50000</v>
      </c>
      <c r="U26" s="25" t="n">
        <f aca="false">IF(L26&gt;=前提条件!$D$36,前提条件!$D$37,0)</f>
        <v>80000</v>
      </c>
      <c r="V26" s="25" t="n">
        <f aca="false">(O26+P26+Q26+R26+S26+T26+U26)*前提条件!$D$38</f>
        <v>33148.8338174819</v>
      </c>
      <c r="W26" s="26" t="n">
        <f aca="false">O26+P26+Q26+R26+S26+T26+U26+V26</f>
        <v>364637.171992301</v>
      </c>
      <c r="X26" s="26" t="n">
        <f aca="false">N26-W26</f>
        <v>298828.57239495</v>
      </c>
      <c r="Y26" s="26" t="n">
        <f aca="false">Y25+X26</f>
        <v>904295.36937017</v>
      </c>
    </row>
    <row r="27" customFormat="false" ht="15" hidden="false" customHeight="false" outlineLevel="0" collapsed="false">
      <c r="A27" s="21" t="n">
        <v>22</v>
      </c>
      <c r="B27" s="22" t="n">
        <f aca="false">C27/前提条件!$D$10</f>
        <v>3115.69507299105</v>
      </c>
      <c r="C27" s="22" t="n">
        <f aca="false">C26*(1+IF($A27&lt;=12,前提条件!$D$7,IF($A27&lt;=24,前提条件!$D$8,前提条件!$D$9)))</f>
        <v>934.708521897316</v>
      </c>
      <c r="D27" s="22" t="n">
        <f aca="false">D26+C27</f>
        <v>13251.1117226522</v>
      </c>
      <c r="E27" s="23" t="n">
        <f aca="false">MAX(0,E26*(1-前提条件!$D$12)+C27*前提条件!$D$11-I27)</f>
        <v>2623.80138304056</v>
      </c>
      <c r="F27" s="23" t="n">
        <f aca="false">F26*(1-前提条件!$D$15)+I27</f>
        <v>1076.47354175044</v>
      </c>
      <c r="G27" s="23" t="n">
        <f aca="false">E27+F27</f>
        <v>3700.27492479099</v>
      </c>
      <c r="H27" s="24" t="n">
        <f aca="false">前提条件!$D$13*MIN(1,$A27/前提条件!$D$14)</f>
        <v>0.05</v>
      </c>
      <c r="I27" s="23" t="n">
        <f aca="false">E26*H27</f>
        <v>125.180826601521</v>
      </c>
      <c r="J27" s="25" t="n">
        <f aca="false">F27*前提条件!$D$16</f>
        <v>667413.59588527</v>
      </c>
      <c r="K27" s="23" t="n">
        <f aca="false">IF($A27&lt;前提条件!$D$18,0,IF($A27&lt;=12,前提条件!$D$19,IF($A27&lt;=24,前提条件!$D$20,前提条件!$D$21)))</f>
        <v>1.6</v>
      </c>
      <c r="L27" s="23" t="n">
        <f aca="false">L26*(1-前提条件!$D$22)+K27</f>
        <v>20.0084496950915</v>
      </c>
      <c r="M27" s="25" t="n">
        <f aca="false">L27*前提条件!$D$23</f>
        <v>52021.9692072379</v>
      </c>
      <c r="N27" s="26" t="n">
        <f aca="false">J27+M27</f>
        <v>719435.565092508</v>
      </c>
      <c r="O27" s="25" t="n">
        <f aca="false">IF($A27&lt;=12,前提条件!$D$25,前提条件!$D$26)</f>
        <v>30000</v>
      </c>
      <c r="P27" s="25" t="n">
        <f aca="false">G27*前提条件!$D$27</f>
        <v>11100.824774373</v>
      </c>
      <c r="Q27" s="25" t="n">
        <f aca="false">F27*前提条件!$D$28</f>
        <v>8611.78833400349</v>
      </c>
      <c r="R27" s="25" t="n">
        <f aca="false">N27*前提条件!$D$30</f>
        <v>57554.8452074007</v>
      </c>
      <c r="S27" s="25" t="n">
        <f aca="false">IF($A27&lt;=12,前提条件!$D$31,IF($A27&lt;=24,前提条件!$D$32,前提条件!$D$33))</f>
        <v>100000</v>
      </c>
      <c r="T27" s="25" t="n">
        <f aca="false">IF(F27&gt;=前提条件!$D$34,前提条件!$D$35,0)</f>
        <v>50000</v>
      </c>
      <c r="U27" s="25" t="n">
        <f aca="false">IF(L27&gt;=前提条件!$D$36,前提条件!$D$37,0)</f>
        <v>80000</v>
      </c>
      <c r="V27" s="25" t="n">
        <f aca="false">(O27+P27+Q27+R27+S27+T27+U27)*前提条件!$D$38</f>
        <v>33726.7458315777</v>
      </c>
      <c r="W27" s="26" t="n">
        <f aca="false">O27+P27+Q27+R27+S27+T27+U27+V27</f>
        <v>370994.204147355</v>
      </c>
      <c r="X27" s="26" t="n">
        <f aca="false">N27-W27</f>
        <v>348441.360945153</v>
      </c>
      <c r="Y27" s="26" t="n">
        <f aca="false">Y26+X27</f>
        <v>1252736.73031532</v>
      </c>
    </row>
    <row r="28" customFormat="false" ht="15" hidden="false" customHeight="false" outlineLevel="0" collapsed="false">
      <c r="A28" s="21" t="n">
        <v>23</v>
      </c>
      <c r="B28" s="22" t="n">
        <f aca="false">C28/前提条件!$D$10</f>
        <v>3240.3228759107</v>
      </c>
      <c r="C28" s="22" t="n">
        <f aca="false">C27*(1+IF($A28&lt;=12,前提条件!$D$7,IF($A28&lt;=24,前提条件!$D$8,前提条件!$D$9)))</f>
        <v>972.096862773209</v>
      </c>
      <c r="D28" s="22" t="n">
        <f aca="false">D27+C28</f>
        <v>14223.2085854254</v>
      </c>
      <c r="E28" s="23" t="n">
        <f aca="false">MAX(0,E27*(1-前提条件!$D$12)+C28*前提条件!$D$11-I28)</f>
        <v>2746.38880532363</v>
      </c>
      <c r="F28" s="23" t="n">
        <f aca="false">F27*(1-前提条件!$D$15)+I28</f>
        <v>1164.60466923245</v>
      </c>
      <c r="G28" s="23" t="n">
        <f aca="false">E28+F28</f>
        <v>3910.99347455608</v>
      </c>
      <c r="H28" s="24" t="n">
        <f aca="false">前提条件!$D$13*MIN(1,$A28/前提条件!$D$14)</f>
        <v>0.05</v>
      </c>
      <c r="I28" s="23" t="n">
        <f aca="false">E27*H28</f>
        <v>131.190069152028</v>
      </c>
      <c r="J28" s="25" t="n">
        <f aca="false">F28*前提条件!$D$16</f>
        <v>722054.894924117</v>
      </c>
      <c r="K28" s="23" t="n">
        <f aca="false">IF($A28&lt;前提条件!$D$18,0,IF($A28&lt;=12,前提条件!$D$19,IF($A28&lt;=24,前提条件!$D$20,前提条件!$D$21)))</f>
        <v>1.6</v>
      </c>
      <c r="L28" s="23" t="n">
        <f aca="false">L27*(1-前提条件!$D$22)+K28</f>
        <v>21.1082384527142</v>
      </c>
      <c r="M28" s="25" t="n">
        <f aca="false">L28*前提条件!$D$23</f>
        <v>54881.419977057</v>
      </c>
      <c r="N28" s="26" t="n">
        <f aca="false">J28+M28</f>
        <v>776936.314901174</v>
      </c>
      <c r="O28" s="25" t="n">
        <f aca="false">IF($A28&lt;=12,前提条件!$D$25,前提条件!$D$26)</f>
        <v>30000</v>
      </c>
      <c r="P28" s="25" t="n">
        <f aca="false">G28*前提条件!$D$27</f>
        <v>11732.9804236682</v>
      </c>
      <c r="Q28" s="25" t="n">
        <f aca="false">F28*前提条件!$D$28</f>
        <v>9316.83735385957</v>
      </c>
      <c r="R28" s="25" t="n">
        <f aca="false">N28*前提条件!$D$30</f>
        <v>62154.9051920939</v>
      </c>
      <c r="S28" s="25" t="n">
        <f aca="false">IF($A28&lt;=12,前提条件!$D$31,IF($A28&lt;=24,前提条件!$D$32,前提条件!$D$33))</f>
        <v>100000</v>
      </c>
      <c r="T28" s="25" t="n">
        <f aca="false">IF(F28&gt;=前提条件!$D$34,前提条件!$D$35,0)</f>
        <v>50000</v>
      </c>
      <c r="U28" s="25" t="n">
        <f aca="false">IF(L28&gt;=前提条件!$D$36,前提条件!$D$37,0)</f>
        <v>80000</v>
      </c>
      <c r="V28" s="25" t="n">
        <f aca="false">(O28+P28+Q28+R28+S28+T28+U28)*前提条件!$D$38</f>
        <v>34320.4722969622</v>
      </c>
      <c r="W28" s="26" t="n">
        <f aca="false">O28+P28+Q28+R28+S28+T28+U28+V28</f>
        <v>377525.195266584</v>
      </c>
      <c r="X28" s="26" t="n">
        <f aca="false">N28-W28</f>
        <v>399411.11963459</v>
      </c>
      <c r="Y28" s="26" t="n">
        <f aca="false">Y27+X28</f>
        <v>1652147.84994991</v>
      </c>
    </row>
    <row r="29" customFormat="false" ht="15" hidden="false" customHeight="false" outlineLevel="0" collapsed="false">
      <c r="A29" s="27" t="n">
        <v>24</v>
      </c>
      <c r="B29" s="28" t="n">
        <f aca="false">C29/前提条件!$D$10</f>
        <v>3369.93579094712</v>
      </c>
      <c r="C29" s="28" t="n">
        <f aca="false">C28*(1+IF($A29&lt;=12,前提条件!$D$7,IF($A29&lt;=24,前提条件!$D$8,前提条件!$D$9)))</f>
        <v>1010.98073728414</v>
      </c>
      <c r="D29" s="28" t="n">
        <f aca="false">D28+C29</f>
        <v>15234.1893227095</v>
      </c>
      <c r="E29" s="29" t="n">
        <f aca="false">MAX(0,E28*(1-前提条件!$D$12)+C29*前提条件!$D$11-I29)</f>
        <v>2871.76348046266</v>
      </c>
      <c r="F29" s="29" t="n">
        <f aca="false">F28*(1-前提条件!$D$15)+I29</f>
        <v>1255.33992272933</v>
      </c>
      <c r="G29" s="29" t="n">
        <f aca="false">E29+F29</f>
        <v>4127.10340319199</v>
      </c>
      <c r="H29" s="30" t="n">
        <f aca="false">前提条件!$D$13*MIN(1,$A29/前提条件!$D$14)</f>
        <v>0.05</v>
      </c>
      <c r="I29" s="29" t="n">
        <f aca="false">E28*H29</f>
        <v>137.319440266182</v>
      </c>
      <c r="J29" s="31" t="n">
        <f aca="false">F29*前提条件!$D$16</f>
        <v>778310.752092185</v>
      </c>
      <c r="K29" s="29" t="n">
        <f aca="false">IF($A29&lt;前提条件!$D$18,0,IF($A29&lt;=12,前提条件!$D$19,IF($A29&lt;=24,前提条件!$D$20,前提条件!$D$21)))</f>
        <v>1.6</v>
      </c>
      <c r="L29" s="29" t="n">
        <f aca="false">L28*(1-前提条件!$D$22)+K29</f>
        <v>22.1805324913964</v>
      </c>
      <c r="M29" s="31" t="n">
        <f aca="false">L29*前提条件!$D$23</f>
        <v>57669.3844776305</v>
      </c>
      <c r="N29" s="32" t="n">
        <f aca="false">J29+M29</f>
        <v>835980.136569815</v>
      </c>
      <c r="O29" s="31" t="n">
        <f aca="false">IF($A29&lt;=12,前提条件!$D$25,前提条件!$D$26)</f>
        <v>30000</v>
      </c>
      <c r="P29" s="31" t="n">
        <f aca="false">G29*前提条件!$D$27</f>
        <v>12381.310209576</v>
      </c>
      <c r="Q29" s="31" t="n">
        <f aca="false">F29*前提条件!$D$28</f>
        <v>10042.7193818346</v>
      </c>
      <c r="R29" s="31" t="n">
        <f aca="false">N29*前提条件!$D$30</f>
        <v>66878.4109255852</v>
      </c>
      <c r="S29" s="31" t="n">
        <f aca="false">IF($A29&lt;=12,前提条件!$D$31,IF($A29&lt;=24,前提条件!$D$32,前提条件!$D$33))</f>
        <v>100000</v>
      </c>
      <c r="T29" s="31" t="n">
        <f aca="false">IF(F29&gt;=前提条件!$D$34,前提条件!$D$35,0)</f>
        <v>50000</v>
      </c>
      <c r="U29" s="31" t="n">
        <f aca="false">IF(L29&gt;=前提条件!$D$36,前提条件!$D$37,0)</f>
        <v>80000</v>
      </c>
      <c r="V29" s="31" t="n">
        <f aca="false">(O29+P29+Q29+R29+S29+T29+U29)*前提条件!$D$38</f>
        <v>34930.2440516996</v>
      </c>
      <c r="W29" s="32" t="n">
        <f aca="false">O29+P29+Q29+R29+S29+T29+U29+V29</f>
        <v>384232.684568695</v>
      </c>
      <c r="X29" s="32" t="n">
        <f aca="false">N29-W29</f>
        <v>451747.45200112</v>
      </c>
      <c r="Y29" s="32" t="n">
        <f aca="false">Y28+X29</f>
        <v>2103895.30195103</v>
      </c>
    </row>
    <row r="30" customFormat="false" ht="15" hidden="false" customHeight="false" outlineLevel="0" collapsed="false">
      <c r="A30" s="21" t="n">
        <v>25</v>
      </c>
      <c r="B30" s="22" t="n">
        <f aca="false">C30/前提条件!$D$10</f>
        <v>3437.33450676607</v>
      </c>
      <c r="C30" s="22" t="n">
        <f aca="false">C29*(1+IF($A30&lt;=12,前提条件!$D$7,IF($A30&lt;=24,前提条件!$D$8,前提条件!$D$9)))</f>
        <v>1031.20035202982</v>
      </c>
      <c r="D30" s="22" t="n">
        <f aca="false">D29+C30</f>
        <v>16265.3896747393</v>
      </c>
      <c r="E30" s="23" t="n">
        <f aca="false">MAX(0,E29*(1-前提条件!$D$12)+C30*前提条件!$D$11-I30)</f>
        <v>2991.19202122056</v>
      </c>
      <c r="F30" s="23" t="n">
        <f aca="false">F29*(1-前提条件!$D$15)+I30</f>
        <v>1348.71449984329</v>
      </c>
      <c r="G30" s="23" t="n">
        <f aca="false">E30+F30</f>
        <v>4339.90652106385</v>
      </c>
      <c r="H30" s="24" t="n">
        <f aca="false">前提条件!$D$13*MIN(1,$A30/前提条件!$D$14)</f>
        <v>0.05</v>
      </c>
      <c r="I30" s="23" t="n">
        <f aca="false">E29*H30</f>
        <v>143.588174023133</v>
      </c>
      <c r="J30" s="25" t="n">
        <f aca="false">F30*前提条件!$D$16</f>
        <v>836202.98990284</v>
      </c>
      <c r="K30" s="23" t="n">
        <f aca="false">IF($A30&lt;前提条件!$D$18,0,IF($A30&lt;=12,前提条件!$D$19,IF($A30&lt;=24,前提条件!$D$20,前提条件!$D$21)))</f>
        <v>2.2</v>
      </c>
      <c r="L30" s="23" t="n">
        <f aca="false">L29*(1-前提条件!$D$22)+K30</f>
        <v>23.8260191791114</v>
      </c>
      <c r="M30" s="25" t="n">
        <f aca="false">L30*前提条件!$D$23</f>
        <v>61947.6498656898</v>
      </c>
      <c r="N30" s="26" t="n">
        <f aca="false">J30+M30</f>
        <v>898150.63976853</v>
      </c>
      <c r="O30" s="25" t="n">
        <f aca="false">IF($A30&lt;=12,前提条件!$D$25,前提条件!$D$26)</f>
        <v>30000</v>
      </c>
      <c r="P30" s="25" t="n">
        <f aca="false">G30*前提条件!$D$27</f>
        <v>13019.7195631915</v>
      </c>
      <c r="Q30" s="25" t="n">
        <f aca="false">F30*前提条件!$D$28</f>
        <v>10789.7159987463</v>
      </c>
      <c r="R30" s="25" t="n">
        <f aca="false">N30*前提条件!$D$30</f>
        <v>71852.0511814824</v>
      </c>
      <c r="S30" s="25" t="n">
        <f aca="false">IF($A30&lt;=12,前提条件!$D$31,IF($A30&lt;=24,前提条件!$D$32,前提条件!$D$33))</f>
        <v>120000</v>
      </c>
      <c r="T30" s="25" t="n">
        <f aca="false">IF(F30&gt;=前提条件!$D$34,前提条件!$D$35,0)</f>
        <v>50000</v>
      </c>
      <c r="U30" s="25" t="n">
        <f aca="false">IF(L30&gt;=前提条件!$D$36,前提条件!$D$37,0)</f>
        <v>80000</v>
      </c>
      <c r="V30" s="25" t="n">
        <f aca="false">(O30+P30+Q30+R30+S30+T30+U30)*前提条件!$D$38</f>
        <v>37566.148674342</v>
      </c>
      <c r="W30" s="26" t="n">
        <f aca="false">O30+P30+Q30+R30+S30+T30+U30+V30</f>
        <v>413227.635417762</v>
      </c>
      <c r="X30" s="26" t="n">
        <f aca="false">N30-W30</f>
        <v>484923.004350767</v>
      </c>
      <c r="Y30" s="26" t="n">
        <f aca="false">Y29+X30</f>
        <v>2588818.3063018</v>
      </c>
    </row>
    <row r="31" customFormat="false" ht="15" hidden="false" customHeight="false" outlineLevel="0" collapsed="false">
      <c r="A31" s="21" t="n">
        <v>26</v>
      </c>
      <c r="B31" s="22" t="n">
        <f aca="false">C31/前提条件!$D$10</f>
        <v>3506.08119690139</v>
      </c>
      <c r="C31" s="22" t="n">
        <f aca="false">C30*(1+IF($A31&lt;=12,前提条件!$D$7,IF($A31&lt;=24,前提条件!$D$8,前提条件!$D$9)))</f>
        <v>1051.82435907042</v>
      </c>
      <c r="D31" s="22" t="n">
        <f aca="false">D30+C31</f>
        <v>17317.2140338097</v>
      </c>
      <c r="E31" s="23" t="n">
        <f aca="false">MAX(0,E30*(1-前提条件!$D$12)+C31*前提条件!$D$11-I31)</f>
        <v>3105.56994025578</v>
      </c>
      <c r="F31" s="23" t="n">
        <f aca="false">F30*(1-前提条件!$D$15)+I31</f>
        <v>1444.32552091059</v>
      </c>
      <c r="G31" s="23" t="n">
        <f aca="false">E31+F31</f>
        <v>4549.89546116637</v>
      </c>
      <c r="H31" s="24" t="n">
        <f aca="false">前提条件!$D$13*MIN(1,$A31/前提条件!$D$14)</f>
        <v>0.05</v>
      </c>
      <c r="I31" s="23" t="n">
        <f aca="false">E30*H31</f>
        <v>149.559601061028</v>
      </c>
      <c r="J31" s="25" t="n">
        <f aca="false">F31*前提条件!$D$16</f>
        <v>895481.822964563</v>
      </c>
      <c r="K31" s="23" t="n">
        <f aca="false">IF($A31&lt;前提条件!$D$18,0,IF($A31&lt;=12,前提条件!$D$19,IF($A31&lt;=24,前提条件!$D$20,前提条件!$D$21)))</f>
        <v>2.2</v>
      </c>
      <c r="L31" s="23" t="n">
        <f aca="false">L30*(1-前提条件!$D$22)+K31</f>
        <v>25.4303686996337</v>
      </c>
      <c r="M31" s="25" t="n">
        <f aca="false">L31*前提条件!$D$23</f>
        <v>66118.9586190475</v>
      </c>
      <c r="N31" s="26" t="n">
        <f aca="false">J31+M31</f>
        <v>961600.781583611</v>
      </c>
      <c r="O31" s="25" t="n">
        <f aca="false">IF($A31&lt;=12,前提条件!$D$25,前提条件!$D$26)</f>
        <v>30000</v>
      </c>
      <c r="P31" s="25" t="n">
        <f aca="false">G31*前提条件!$D$27</f>
        <v>13649.6863834991</v>
      </c>
      <c r="Q31" s="25" t="n">
        <f aca="false">F31*前提条件!$D$28</f>
        <v>11554.6041672847</v>
      </c>
      <c r="R31" s="25" t="n">
        <f aca="false">N31*前提条件!$D$30</f>
        <v>76928.0625266889</v>
      </c>
      <c r="S31" s="25" t="n">
        <f aca="false">IF($A31&lt;=12,前提条件!$D$31,IF($A31&lt;=24,前提条件!$D$32,前提条件!$D$33))</f>
        <v>120000</v>
      </c>
      <c r="T31" s="25" t="n">
        <f aca="false">IF(F31&gt;=前提条件!$D$34,前提条件!$D$35,0)</f>
        <v>50000</v>
      </c>
      <c r="U31" s="25" t="n">
        <f aca="false">IF(L31&gt;=前提条件!$D$36,前提条件!$D$37,0)</f>
        <v>80000</v>
      </c>
      <c r="V31" s="25" t="n">
        <f aca="false">(O31+P31+Q31+R31+S31+T31+U31)*前提条件!$D$38</f>
        <v>38213.2353077473</v>
      </c>
      <c r="W31" s="26" t="n">
        <f aca="false">O31+P31+Q31+R31+S31+T31+U31+V31</f>
        <v>420345.58838522</v>
      </c>
      <c r="X31" s="26" t="n">
        <f aca="false">N31-W31</f>
        <v>541255.193198391</v>
      </c>
      <c r="Y31" s="26" t="n">
        <f aca="false">Y30+X31</f>
        <v>3130073.49950019</v>
      </c>
    </row>
    <row r="32" customFormat="false" ht="15" hidden="false" customHeight="false" outlineLevel="0" collapsed="false">
      <c r="A32" s="21" t="n">
        <v>27</v>
      </c>
      <c r="B32" s="22" t="n">
        <f aca="false">C32/前提条件!$D$10</f>
        <v>3576.20282083941</v>
      </c>
      <c r="C32" s="22" t="n">
        <f aca="false">C31*(1+IF($A32&lt;=12,前提条件!$D$7,IF($A32&lt;=24,前提条件!$D$8,前提条件!$D$9)))</f>
        <v>1072.86084625182</v>
      </c>
      <c r="D32" s="22" t="n">
        <f aca="false">D31+C32</f>
        <v>18390.0748800616</v>
      </c>
      <c r="E32" s="23" t="n">
        <f aca="false">MAX(0,E31*(1-前提条件!$D$12)+C32*前提条件!$D$11-I32)</f>
        <v>3215.68892823841</v>
      </c>
      <c r="F32" s="23" t="n">
        <f aca="false">F31*(1-前提条件!$D$15)+I32</f>
        <v>1541.83099708695</v>
      </c>
      <c r="G32" s="23" t="n">
        <f aca="false">E32+F32</f>
        <v>4757.51992532536</v>
      </c>
      <c r="H32" s="24" t="n">
        <f aca="false">前提条件!$D$13*MIN(1,$A32/前提条件!$D$14)</f>
        <v>0.05</v>
      </c>
      <c r="I32" s="23" t="n">
        <f aca="false">E31*H32</f>
        <v>155.278497012789</v>
      </c>
      <c r="J32" s="25" t="n">
        <f aca="false">F32*前提条件!$D$16</f>
        <v>955935.21819391</v>
      </c>
      <c r="K32" s="23" t="n">
        <f aca="false">IF($A32&lt;前提条件!$D$18,0,IF($A32&lt;=12,前提条件!$D$19,IF($A32&lt;=24,前提条件!$D$20,前提条件!$D$21)))</f>
        <v>2.2</v>
      </c>
      <c r="L32" s="23" t="n">
        <f aca="false">L31*(1-前提条件!$D$22)+K32</f>
        <v>26.9946094821428</v>
      </c>
      <c r="M32" s="25" t="n">
        <f aca="false">L32*前提条件!$D$23</f>
        <v>70185.9846535713</v>
      </c>
      <c r="N32" s="26" t="n">
        <f aca="false">J32+M32</f>
        <v>1026121.20284748</v>
      </c>
      <c r="O32" s="25" t="n">
        <f aca="false">IF($A32&lt;=12,前提条件!$D$25,前提条件!$D$26)</f>
        <v>30000</v>
      </c>
      <c r="P32" s="25" t="n">
        <f aca="false">G32*前提条件!$D$27</f>
        <v>14272.5597759761</v>
      </c>
      <c r="Q32" s="25" t="n">
        <f aca="false">F32*前提条件!$D$28</f>
        <v>12334.6479766956</v>
      </c>
      <c r="R32" s="25" t="n">
        <f aca="false">N32*前提条件!$D$30</f>
        <v>82089.6962277985</v>
      </c>
      <c r="S32" s="25" t="n">
        <f aca="false">IF($A32&lt;=12,前提条件!$D$31,IF($A32&lt;=24,前提条件!$D$32,前提条件!$D$33))</f>
        <v>120000</v>
      </c>
      <c r="T32" s="25" t="n">
        <f aca="false">IF(F32&gt;=前提条件!$D$34,前提条件!$D$35,0)</f>
        <v>50000</v>
      </c>
      <c r="U32" s="25" t="n">
        <f aca="false">IF(L32&gt;=前提条件!$D$36,前提条件!$D$37,0)</f>
        <v>80000</v>
      </c>
      <c r="V32" s="25" t="n">
        <f aca="false">(O32+P32+Q32+R32+S32+T32+U32)*前提条件!$D$38</f>
        <v>38869.690398047</v>
      </c>
      <c r="W32" s="26" t="n">
        <f aca="false">O32+P32+Q32+R32+S32+T32+U32+V32</f>
        <v>427566.594378517</v>
      </c>
      <c r="X32" s="26" t="n">
        <f aca="false">N32-W32</f>
        <v>598554.608468964</v>
      </c>
      <c r="Y32" s="26" t="n">
        <f aca="false">Y31+X32</f>
        <v>3728628.10796916</v>
      </c>
    </row>
    <row r="33" customFormat="false" ht="15" hidden="false" customHeight="false" outlineLevel="0" collapsed="false">
      <c r="A33" s="21" t="n">
        <v>28</v>
      </c>
      <c r="B33" s="22" t="n">
        <f aca="false">C33/前提条件!$D$10</f>
        <v>3647.7268772562</v>
      </c>
      <c r="C33" s="22" t="n">
        <f aca="false">C32*(1+IF($A33&lt;=12,前提条件!$D$7,IF($A33&lt;=24,前提条件!$D$8,前提条件!$D$9)))</f>
        <v>1094.31806317686</v>
      </c>
      <c r="D33" s="22" t="n">
        <f aca="false">D32+C33</f>
        <v>19484.3929432384</v>
      </c>
      <c r="E33" s="23" t="n">
        <f aca="false">MAX(0,E32*(1-前提条件!$D$12)+C33*前提条件!$D$11-I33)</f>
        <v>3322.24938527939</v>
      </c>
      <c r="F33" s="23" t="n">
        <f aca="false">F32*(1-前提条件!$D$15)+I33</f>
        <v>1640.94220361539</v>
      </c>
      <c r="G33" s="23" t="n">
        <f aca="false">E33+F33</f>
        <v>4963.19158889478</v>
      </c>
      <c r="H33" s="24" t="n">
        <f aca="false">前提条件!$D$13*MIN(1,$A33/前提条件!$D$14)</f>
        <v>0.05</v>
      </c>
      <c r="I33" s="23" t="n">
        <f aca="false">E32*H33</f>
        <v>160.78444641192</v>
      </c>
      <c r="J33" s="25" t="n">
        <f aca="false">F33*前提条件!$D$16</f>
        <v>1017384.16624154</v>
      </c>
      <c r="K33" s="23" t="n">
        <f aca="false">IF($A33&lt;前提条件!$D$18,0,IF($A33&lt;=12,前提条件!$D$19,IF($A33&lt;=24,前提条件!$D$20,前提条件!$D$21)))</f>
        <v>2.2</v>
      </c>
      <c r="L33" s="23" t="n">
        <f aca="false">L32*(1-前提条件!$D$22)+K33</f>
        <v>28.5197442450892</v>
      </c>
      <c r="M33" s="25" t="n">
        <f aca="false">L33*前提条件!$D$23</f>
        <v>74151.335037232</v>
      </c>
      <c r="N33" s="26" t="n">
        <f aca="false">J33+M33</f>
        <v>1091535.50127878</v>
      </c>
      <c r="O33" s="25" t="n">
        <f aca="false">IF($A33&lt;=12,前提条件!$D$25,前提条件!$D$26)</f>
        <v>30000</v>
      </c>
      <c r="P33" s="25" t="n">
        <f aca="false">G33*前提条件!$D$27</f>
        <v>14889.5747666843</v>
      </c>
      <c r="Q33" s="25" t="n">
        <f aca="false">F33*前提条件!$D$28</f>
        <v>13127.5376289232</v>
      </c>
      <c r="R33" s="25" t="n">
        <f aca="false">N33*前提条件!$D$30</f>
        <v>87322.8401023021</v>
      </c>
      <c r="S33" s="25" t="n">
        <f aca="false">IF($A33&lt;=12,前提条件!$D$31,IF($A33&lt;=24,前提条件!$D$32,前提条件!$D$33))</f>
        <v>120000</v>
      </c>
      <c r="T33" s="25" t="n">
        <f aca="false">IF(F33&gt;=前提条件!$D$34,前提条件!$D$35,0)</f>
        <v>50000</v>
      </c>
      <c r="U33" s="25" t="n">
        <f aca="false">IF(L33&gt;=前提条件!$D$36,前提条件!$D$37,0)</f>
        <v>80000</v>
      </c>
      <c r="V33" s="25" t="n">
        <f aca="false">(O33+P33+Q33+R33+S33+T33+U33)*前提条件!$D$38</f>
        <v>39533.995249791</v>
      </c>
      <c r="W33" s="26" t="n">
        <f aca="false">O33+P33+Q33+R33+S33+T33+U33+V33</f>
        <v>434873.947747701</v>
      </c>
      <c r="X33" s="26" t="n">
        <f aca="false">N33-W33</f>
        <v>656661.553531076</v>
      </c>
      <c r="Y33" s="26" t="n">
        <f aca="false">Y32+X33</f>
        <v>4385289.66150023</v>
      </c>
    </row>
    <row r="34" customFormat="false" ht="15" hidden="false" customHeight="false" outlineLevel="0" collapsed="false">
      <c r="A34" s="21" t="n">
        <v>29</v>
      </c>
      <c r="B34" s="22" t="n">
        <f aca="false">C34/前提条件!$D$10</f>
        <v>3720.68141480133</v>
      </c>
      <c r="C34" s="22" t="n">
        <f aca="false">C33*(1+IF($A34&lt;=12,前提条件!$D$7,IF($A34&lt;=24,前提条件!$D$8,前提条件!$D$9)))</f>
        <v>1116.2044244404</v>
      </c>
      <c r="D34" s="22" t="n">
        <f aca="false">D33+C34</f>
        <v>20600.5973676788</v>
      </c>
      <c r="E34" s="23" t="n">
        <f aca="false">MAX(0,E33*(1-前提条件!$D$12)+C34*前提条件!$D$11-I34)</f>
        <v>3425.87145004404</v>
      </c>
      <c r="F34" s="23" t="n">
        <f aca="false">F33*(1-前提条件!$D$15)+I34</f>
        <v>1741.41698473475</v>
      </c>
      <c r="G34" s="23" t="n">
        <f aca="false">E34+F34</f>
        <v>5167.28843477879</v>
      </c>
      <c r="H34" s="24" t="n">
        <f aca="false">前提条件!$D$13*MIN(1,$A34/前提条件!$D$14)</f>
        <v>0.05</v>
      </c>
      <c r="I34" s="23" t="n">
        <f aca="false">E33*H34</f>
        <v>166.112469263969</v>
      </c>
      <c r="J34" s="25" t="n">
        <f aca="false">F34*前提条件!$D$16</f>
        <v>1079678.53053554</v>
      </c>
      <c r="K34" s="23" t="n">
        <f aca="false">IF($A34&lt;前提条件!$D$18,0,IF($A34&lt;=12,前提条件!$D$19,IF($A34&lt;=24,前提条件!$D$20,前提条件!$D$21)))</f>
        <v>2.2</v>
      </c>
      <c r="L34" s="23" t="n">
        <f aca="false">L33*(1-前提条件!$D$22)+K34</f>
        <v>30.006750638962</v>
      </c>
      <c r="M34" s="25" t="n">
        <f aca="false">L34*前提条件!$D$23</f>
        <v>78017.5516613012</v>
      </c>
      <c r="N34" s="26" t="n">
        <f aca="false">J34+M34</f>
        <v>1157696.08219684</v>
      </c>
      <c r="O34" s="25" t="n">
        <f aca="false">IF($A34&lt;=12,前提条件!$D$25,前提条件!$D$26)</f>
        <v>30000</v>
      </c>
      <c r="P34" s="25" t="n">
        <f aca="false">G34*前提条件!$D$27</f>
        <v>15501.8653043364</v>
      </c>
      <c r="Q34" s="25" t="n">
        <f aca="false">F34*前提条件!$D$28</f>
        <v>13931.335877878</v>
      </c>
      <c r="R34" s="25" t="n">
        <f aca="false">N34*前提条件!$D$30</f>
        <v>92615.6865757476</v>
      </c>
      <c r="S34" s="25" t="n">
        <f aca="false">IF($A34&lt;=12,前提条件!$D$31,IF($A34&lt;=24,前提条件!$D$32,前提条件!$D$33))</f>
        <v>120000</v>
      </c>
      <c r="T34" s="25" t="n">
        <f aca="false">IF(F34&gt;=前提条件!$D$34,前提条件!$D$35,0)</f>
        <v>50000</v>
      </c>
      <c r="U34" s="25" t="n">
        <f aca="false">IF(L34&gt;=前提条件!$D$36,前提条件!$D$37,0)</f>
        <v>80000</v>
      </c>
      <c r="V34" s="25" t="n">
        <f aca="false">(O34+P34+Q34+R34+S34+T34+U34)*前提条件!$D$38</f>
        <v>40204.8887757962</v>
      </c>
      <c r="W34" s="26" t="n">
        <f aca="false">O34+P34+Q34+R34+S34+T34+U34+V34</f>
        <v>442253.776533758</v>
      </c>
      <c r="X34" s="26" t="n">
        <f aca="false">N34-W34</f>
        <v>715442.305663087</v>
      </c>
      <c r="Y34" s="26" t="n">
        <f aca="false">Y33+X34</f>
        <v>5100731.96716332</v>
      </c>
    </row>
    <row r="35" customFormat="false" ht="15" hidden="false" customHeight="false" outlineLevel="0" collapsed="false">
      <c r="A35" s="21" t="n">
        <v>30</v>
      </c>
      <c r="B35" s="22" t="n">
        <f aca="false">C35/前提条件!$D$10</f>
        <v>3795.09504309735</v>
      </c>
      <c r="C35" s="22" t="n">
        <f aca="false">C34*(1+IF($A35&lt;=12,前提条件!$D$7,IF($A35&lt;=24,前提条件!$D$8,前提条件!$D$9)))</f>
        <v>1138.52851292921</v>
      </c>
      <c r="D35" s="22" t="n">
        <f aca="false">D34+C35</f>
        <v>21739.125880608</v>
      </c>
      <c r="E35" s="23" t="n">
        <f aca="false">MAX(0,E34*(1-前提条件!$D$12)+C35*前提条件!$D$11-I35)</f>
        <v>3527.1047068569</v>
      </c>
      <c r="F35" s="23" t="n">
        <f aca="false">F34*(1-前提条件!$D$15)+I35</f>
        <v>1843.05387784756</v>
      </c>
      <c r="G35" s="23" t="n">
        <f aca="false">E35+F35</f>
        <v>5370.15858470446</v>
      </c>
      <c r="H35" s="24" t="n">
        <f aca="false">前提条件!$D$13*MIN(1,$A35/前提条件!$D$14)</f>
        <v>0.05</v>
      </c>
      <c r="I35" s="23" t="n">
        <f aca="false">E34*H35</f>
        <v>171.293572502202</v>
      </c>
      <c r="J35" s="25" t="n">
        <f aca="false">F35*前提条件!$D$16</f>
        <v>1142693.40426549</v>
      </c>
      <c r="K35" s="23" t="n">
        <f aca="false">IF($A35&lt;前提条件!$D$18,0,IF($A35&lt;=12,前提条件!$D$19,IF($A35&lt;=24,前提条件!$D$20,前提条件!$D$21)))</f>
        <v>2.2</v>
      </c>
      <c r="L35" s="23" t="n">
        <f aca="false">L34*(1-前提条件!$D$22)+K35</f>
        <v>31.456581872988</v>
      </c>
      <c r="M35" s="25" t="n">
        <f aca="false">L35*前提条件!$D$23</f>
        <v>81787.1128697687</v>
      </c>
      <c r="N35" s="26" t="n">
        <f aca="false">J35+M35</f>
        <v>1224480.51713526</v>
      </c>
      <c r="O35" s="25" t="n">
        <f aca="false">IF($A35&lt;=12,前提条件!$D$25,前提条件!$D$26)</f>
        <v>30000</v>
      </c>
      <c r="P35" s="25" t="n">
        <f aca="false">G35*前提条件!$D$27</f>
        <v>16110.4757541134</v>
      </c>
      <c r="Q35" s="25" t="n">
        <f aca="false">F35*前提条件!$D$28</f>
        <v>14744.4310227805</v>
      </c>
      <c r="R35" s="25" t="n">
        <f aca="false">N35*前提条件!$D$30</f>
        <v>97958.4413708204</v>
      </c>
      <c r="S35" s="25" t="n">
        <f aca="false">IF($A35&lt;=12,前提条件!$D$31,IF($A35&lt;=24,前提条件!$D$32,前提条件!$D$33))</f>
        <v>120000</v>
      </c>
      <c r="T35" s="25" t="n">
        <f aca="false">IF(F35&gt;=前提条件!$D$34,前提条件!$D$35,0)</f>
        <v>50000</v>
      </c>
      <c r="U35" s="25" t="n">
        <f aca="false">IF(L35&gt;=前提条件!$D$36,前提条件!$D$37,0)</f>
        <v>80000</v>
      </c>
      <c r="V35" s="25" t="n">
        <f aca="false">(O35+P35+Q35+R35+S35+T35+U35)*前提条件!$D$38</f>
        <v>40881.3348147714</v>
      </c>
      <c r="W35" s="26" t="n">
        <f aca="false">O35+P35+Q35+R35+S35+T35+U35+V35</f>
        <v>449694.682962486</v>
      </c>
      <c r="X35" s="26" t="n">
        <f aca="false">N35-W35</f>
        <v>774785.83417277</v>
      </c>
      <c r="Y35" s="26" t="n">
        <f aca="false">Y34+X35</f>
        <v>5875517.80133609</v>
      </c>
    </row>
    <row r="36" customFormat="false" ht="15" hidden="false" customHeight="false" outlineLevel="0" collapsed="false">
      <c r="A36" s="21" t="n">
        <v>31</v>
      </c>
      <c r="B36" s="22" t="n">
        <f aca="false">C36/前提条件!$D$10</f>
        <v>3870.9969439593</v>
      </c>
      <c r="C36" s="22" t="n">
        <f aca="false">C35*(1+IF($A36&lt;=12,前提条件!$D$7,IF($A36&lt;=24,前提条件!$D$8,前提条件!$D$9)))</f>
        <v>1161.29908318779</v>
      </c>
      <c r="D36" s="22" t="n">
        <f aca="false">D35+C36</f>
        <v>22900.4249637958</v>
      </c>
      <c r="E36" s="23" t="n">
        <f aca="false">MAX(0,E35*(1-前提条件!$D$12)+C36*前提条件!$D$11-I36)</f>
        <v>3626.43672946857</v>
      </c>
      <c r="F36" s="23" t="n">
        <f aca="false">F35*(1-前提条件!$D$15)+I36</f>
        <v>1945.6869580765</v>
      </c>
      <c r="G36" s="23" t="n">
        <f aca="false">E36+F36</f>
        <v>5572.12368754508</v>
      </c>
      <c r="H36" s="24" t="n">
        <f aca="false">前提条件!$D$13*MIN(1,$A36/前提条件!$D$14)</f>
        <v>0.05</v>
      </c>
      <c r="I36" s="23" t="n">
        <f aca="false">E35*H36</f>
        <v>176.355235342845</v>
      </c>
      <c r="J36" s="25" t="n">
        <f aca="false">F36*前提条件!$D$16</f>
        <v>1206325.91400743</v>
      </c>
      <c r="K36" s="23" t="n">
        <f aca="false">IF($A36&lt;前提条件!$D$18,0,IF($A36&lt;=12,前提条件!$D$19,IF($A36&lt;=24,前提条件!$D$20,前提条件!$D$21)))</f>
        <v>2.2</v>
      </c>
      <c r="L36" s="23" t="n">
        <f aca="false">L35*(1-前提条件!$D$22)+K36</f>
        <v>32.8701673261633</v>
      </c>
      <c r="M36" s="25" t="n">
        <f aca="false">L36*前提条件!$D$23</f>
        <v>85462.4350480245</v>
      </c>
      <c r="N36" s="26" t="n">
        <f aca="false">J36+M36</f>
        <v>1291788.34905546</v>
      </c>
      <c r="O36" s="25" t="n">
        <f aca="false">IF($A36&lt;=12,前提条件!$D$25,前提条件!$D$26)</f>
        <v>30000</v>
      </c>
      <c r="P36" s="25" t="n">
        <f aca="false">G36*前提条件!$D$27</f>
        <v>16716.3710626352</v>
      </c>
      <c r="Q36" s="25" t="n">
        <f aca="false">F36*前提条件!$D$28</f>
        <v>15565.495664612</v>
      </c>
      <c r="R36" s="25" t="n">
        <f aca="false">N36*前提条件!$D$30</f>
        <v>103343.067924436</v>
      </c>
      <c r="S36" s="25" t="n">
        <f aca="false">IF($A36&lt;=12,前提条件!$D$31,IF($A36&lt;=24,前提条件!$D$32,前提条件!$D$33))</f>
        <v>120000</v>
      </c>
      <c r="T36" s="25" t="n">
        <f aca="false">IF(F36&gt;=前提条件!$D$34,前提条件!$D$35,0)</f>
        <v>50000</v>
      </c>
      <c r="U36" s="25" t="n">
        <f aca="false">IF(L36&gt;=前提条件!$D$36,前提条件!$D$37,0)</f>
        <v>80000</v>
      </c>
      <c r="V36" s="25" t="n">
        <f aca="false">(O36+P36+Q36+R36+S36+T36+U36)*前提条件!$D$38</f>
        <v>41562.4934651684</v>
      </c>
      <c r="W36" s="26" t="n">
        <f aca="false">O36+P36+Q36+R36+S36+T36+U36+V36</f>
        <v>457187.428116852</v>
      </c>
      <c r="X36" s="26" t="n">
        <f aca="false">N36-W36</f>
        <v>834600.920938604</v>
      </c>
      <c r="Y36" s="26" t="n">
        <f aca="false">Y35+X36</f>
        <v>6710118.72227469</v>
      </c>
    </row>
    <row r="37" customFormat="false" ht="15" hidden="false" customHeight="false" outlineLevel="0" collapsed="false">
      <c r="A37" s="21" t="n">
        <v>32</v>
      </c>
      <c r="B37" s="22" t="n">
        <f aca="false">C37/前提条件!$D$10</f>
        <v>3948.41688283849</v>
      </c>
      <c r="C37" s="22" t="n">
        <f aca="false">C36*(1+IF($A37&lt;=12,前提条件!$D$7,IF($A37&lt;=24,前提条件!$D$8,前提条件!$D$9)))</f>
        <v>1184.52506485155</v>
      </c>
      <c r="D37" s="22" t="n">
        <f aca="false">D36+C37</f>
        <v>24084.9500286474</v>
      </c>
      <c r="E37" s="23" t="n">
        <f aca="false">MAX(0,E36*(1-前提条件!$D$12)+C37*前提条件!$D$11-I37)</f>
        <v>3724.30060111554</v>
      </c>
      <c r="F37" s="23" t="n">
        <f aca="false">F36*(1-前提条件!$D$15)+I37</f>
        <v>2049.18131622687</v>
      </c>
      <c r="G37" s="23" t="n">
        <f aca="false">E37+F37</f>
        <v>5773.48191734241</v>
      </c>
      <c r="H37" s="24" t="n">
        <f aca="false">前提条件!$D$13*MIN(1,$A37/前提条件!$D$14)</f>
        <v>0.05</v>
      </c>
      <c r="I37" s="23" t="n">
        <f aca="false">E36*H37</f>
        <v>181.321836473429</v>
      </c>
      <c r="J37" s="25" t="n">
        <f aca="false">F37*前提条件!$D$16</f>
        <v>1270492.41606066</v>
      </c>
      <c r="K37" s="23" t="n">
        <f aca="false">IF($A37&lt;前提条件!$D$18,0,IF($A37&lt;=12,前提条件!$D$19,IF($A37&lt;=24,前提条件!$D$20,前提条件!$D$21)))</f>
        <v>2.2</v>
      </c>
      <c r="L37" s="23" t="n">
        <f aca="false">L36*(1-前提条件!$D$22)+K37</f>
        <v>34.2484131430092</v>
      </c>
      <c r="M37" s="25" t="n">
        <f aca="false">L37*前提条件!$D$23</f>
        <v>89045.8741718239</v>
      </c>
      <c r="N37" s="26" t="n">
        <f aca="false">J37+M37</f>
        <v>1359538.29023248</v>
      </c>
      <c r="O37" s="25" t="n">
        <f aca="false">IF($A37&lt;=12,前提条件!$D$25,前提条件!$D$26)</f>
        <v>30000</v>
      </c>
      <c r="P37" s="25" t="n">
        <f aca="false">G37*前提条件!$D$27</f>
        <v>17320.4457520272</v>
      </c>
      <c r="Q37" s="25" t="n">
        <f aca="false">F37*前提条件!$D$28</f>
        <v>16393.450529815</v>
      </c>
      <c r="R37" s="25" t="n">
        <f aca="false">N37*前提条件!$D$30</f>
        <v>108763.063218599</v>
      </c>
      <c r="S37" s="25" t="n">
        <f aca="false">IF($A37&lt;=12,前提条件!$D$31,IF($A37&lt;=24,前提条件!$D$32,前提条件!$D$33))</f>
        <v>120000</v>
      </c>
      <c r="T37" s="25" t="n">
        <f aca="false">IF(F37&gt;=前提条件!$D$34,前提条件!$D$35,0)</f>
        <v>50000</v>
      </c>
      <c r="U37" s="25" t="n">
        <f aca="false">IF(L37&gt;=前提条件!$D$36,前提条件!$D$37,0)</f>
        <v>80000</v>
      </c>
      <c r="V37" s="25" t="n">
        <f aca="false">(O37+P37+Q37+R37+S37+T37+U37)*前提条件!$D$38</f>
        <v>42247.6959500441</v>
      </c>
      <c r="W37" s="26" t="n">
        <f aca="false">O37+P37+Q37+R37+S37+T37+U37+V37</f>
        <v>464724.655450485</v>
      </c>
      <c r="X37" s="26" t="n">
        <f aca="false">N37-W37</f>
        <v>894813.634781998</v>
      </c>
      <c r="Y37" s="26" t="n">
        <f aca="false">Y36+X37</f>
        <v>7604932.35705669</v>
      </c>
    </row>
    <row r="38" customFormat="false" ht="15" hidden="false" customHeight="false" outlineLevel="0" collapsed="false">
      <c r="A38" s="21" t="n">
        <v>33</v>
      </c>
      <c r="B38" s="22" t="n">
        <f aca="false">C38/前提条件!$D$10</f>
        <v>4027.38522049526</v>
      </c>
      <c r="C38" s="22" t="n">
        <f aca="false">C37*(1+IF($A38&lt;=12,前提条件!$D$7,IF($A38&lt;=24,前提条件!$D$8,前提条件!$D$9)))</f>
        <v>1208.21556614858</v>
      </c>
      <c r="D38" s="22" t="n">
        <f aca="false">D37+C38</f>
        <v>25293.1655947959</v>
      </c>
      <c r="E38" s="23" t="n">
        <f aca="false">MAX(0,E37*(1-前提条件!$D$12)+C38*前提条件!$D$11-I38)</f>
        <v>3821.08153374854</v>
      </c>
      <c r="F38" s="23" t="n">
        <f aca="false">F37*(1-前提条件!$D$15)+I38</f>
        <v>2153.42909363357</v>
      </c>
      <c r="G38" s="23" t="n">
        <f aca="false">E38+F38</f>
        <v>5974.51062738211</v>
      </c>
      <c r="H38" s="24" t="n">
        <f aca="false">前提条件!$D$13*MIN(1,$A38/前提条件!$D$14)</f>
        <v>0.05</v>
      </c>
      <c r="I38" s="23" t="n">
        <f aca="false">E37*H38</f>
        <v>186.215030055777</v>
      </c>
      <c r="J38" s="25" t="n">
        <f aca="false">F38*前提条件!$D$16</f>
        <v>1335126.03805281</v>
      </c>
      <c r="K38" s="23" t="n">
        <f aca="false">IF($A38&lt;前提条件!$D$18,0,IF($A38&lt;=12,前提条件!$D$19,IF($A38&lt;=24,前提条件!$D$20,前提条件!$D$21)))</f>
        <v>2.2</v>
      </c>
      <c r="L38" s="23" t="n">
        <f aca="false">L37*(1-前提条件!$D$22)+K38</f>
        <v>35.592202814434</v>
      </c>
      <c r="M38" s="25" t="n">
        <f aca="false">L38*前提条件!$D$23</f>
        <v>92539.7273175283</v>
      </c>
      <c r="N38" s="26" t="n">
        <f aca="false">J38+M38</f>
        <v>1427665.76537034</v>
      </c>
      <c r="O38" s="25" t="n">
        <f aca="false">IF($A38&lt;=12,前提条件!$D$25,前提条件!$D$26)</f>
        <v>30000</v>
      </c>
      <c r="P38" s="25" t="n">
        <f aca="false">G38*前提条件!$D$27</f>
        <v>17923.5318821463</v>
      </c>
      <c r="Q38" s="25" t="n">
        <f aca="false">F38*前提条件!$D$28</f>
        <v>17227.4327490686</v>
      </c>
      <c r="R38" s="25" t="n">
        <f aca="false">N38*前提条件!$D$30</f>
        <v>114213.261229627</v>
      </c>
      <c r="S38" s="25" t="n">
        <f aca="false">IF($A38&lt;=12,前提条件!$D$31,IF($A38&lt;=24,前提条件!$D$32,前提条件!$D$33))</f>
        <v>120000</v>
      </c>
      <c r="T38" s="25" t="n">
        <f aca="false">IF(F38&gt;=前提条件!$D$34,前提条件!$D$35,0)</f>
        <v>50000</v>
      </c>
      <c r="U38" s="25" t="n">
        <f aca="false">IF(L38&gt;=前提条件!$D$36,前提条件!$D$37,0)</f>
        <v>80000</v>
      </c>
      <c r="V38" s="25" t="n">
        <f aca="false">(O38+P38+Q38+R38+S38+T38+U38)*前提条件!$D$38</f>
        <v>42936.4225860842</v>
      </c>
      <c r="W38" s="26" t="n">
        <f aca="false">O38+P38+Q38+R38+S38+T38+U38+V38</f>
        <v>472300.648446927</v>
      </c>
      <c r="X38" s="26" t="n">
        <f aca="false">N38-W38</f>
        <v>955365.116923416</v>
      </c>
      <c r="Y38" s="26" t="n">
        <f aca="false">Y37+X38</f>
        <v>8560297.47398011</v>
      </c>
    </row>
    <row r="39" customFormat="false" ht="15" hidden="false" customHeight="false" outlineLevel="0" collapsed="false">
      <c r="A39" s="21" t="n">
        <v>34</v>
      </c>
      <c r="B39" s="22" t="n">
        <f aca="false">C39/前提条件!$D$10</f>
        <v>4107.93292490516</v>
      </c>
      <c r="C39" s="22" t="n">
        <f aca="false">C38*(1+IF($A39&lt;=12,前提条件!$D$7,IF($A39&lt;=24,前提条件!$D$8,前提条件!$D$9)))</f>
        <v>1232.37987747155</v>
      </c>
      <c r="D39" s="22" t="n">
        <f aca="false">D38+C39</f>
        <v>26525.5454722675</v>
      </c>
      <c r="E39" s="23" t="n">
        <f aca="false">MAX(0,E38*(1-前提条件!$D$12)+C39*前提条件!$D$11-I39)</f>
        <v>3917.12269456091</v>
      </c>
      <c r="F39" s="23" t="n">
        <f aca="false">F38*(1-前提条件!$D$15)+I39</f>
        <v>2258.34600657566</v>
      </c>
      <c r="G39" s="23" t="n">
        <f aca="false">E39+F39</f>
        <v>6175.46870113656</v>
      </c>
      <c r="H39" s="24" t="n">
        <f aca="false">前提条件!$D$13*MIN(1,$A39/前提条件!$D$14)</f>
        <v>0.05</v>
      </c>
      <c r="I39" s="23" t="n">
        <f aca="false">E38*H39</f>
        <v>191.054076687427</v>
      </c>
      <c r="J39" s="25" t="n">
        <f aca="false">F39*前提条件!$D$16</f>
        <v>1400174.52407691</v>
      </c>
      <c r="K39" s="23" t="n">
        <f aca="false">IF($A39&lt;前提条件!$D$18,0,IF($A39&lt;=12,前提条件!$D$19,IF($A39&lt;=24,前提条件!$D$20,前提条件!$D$21)))</f>
        <v>2.2</v>
      </c>
      <c r="L39" s="23" t="n">
        <f aca="false">L38*(1-前提条件!$D$22)+K39</f>
        <v>36.9023977440731</v>
      </c>
      <c r="M39" s="25" t="n">
        <f aca="false">L39*前提条件!$D$23</f>
        <v>95946.2341345901</v>
      </c>
      <c r="N39" s="26" t="n">
        <f aca="false">J39+M39</f>
        <v>1496120.7582115</v>
      </c>
      <c r="O39" s="25" t="n">
        <f aca="false">IF($A39&lt;=12,前提条件!$D$25,前提条件!$D$26)</f>
        <v>30000</v>
      </c>
      <c r="P39" s="25" t="n">
        <f aca="false">G39*前提条件!$D$27</f>
        <v>18526.4061034097</v>
      </c>
      <c r="Q39" s="25" t="n">
        <f aca="false">F39*前提条件!$D$28</f>
        <v>18066.7680526052</v>
      </c>
      <c r="R39" s="25" t="n">
        <f aca="false">N39*前提条件!$D$30</f>
        <v>119689.66065692</v>
      </c>
      <c r="S39" s="25" t="n">
        <f aca="false">IF($A39&lt;=12,前提条件!$D$31,IF($A39&lt;=24,前提条件!$D$32,前提条件!$D$33))</f>
        <v>120000</v>
      </c>
      <c r="T39" s="25" t="n">
        <f aca="false">IF(F39&gt;=前提条件!$D$34,前提条件!$D$35,0)</f>
        <v>50000</v>
      </c>
      <c r="U39" s="25" t="n">
        <f aca="false">IF(L39&gt;=前提条件!$D$36,前提条件!$D$37,0)</f>
        <v>80000</v>
      </c>
      <c r="V39" s="25" t="n">
        <f aca="false">(O39+P39+Q39+R39+S39+T39+U39)*前提条件!$D$38</f>
        <v>43628.2834812935</v>
      </c>
      <c r="W39" s="26" t="n">
        <f aca="false">O39+P39+Q39+R39+S39+T39+U39+V39</f>
        <v>479911.118294228</v>
      </c>
      <c r="X39" s="26" t="n">
        <f aca="false">N39-W39</f>
        <v>1016209.63991727</v>
      </c>
      <c r="Y39" s="26" t="n">
        <f aca="false">Y38+X39</f>
        <v>9576507.11389737</v>
      </c>
    </row>
    <row r="40" customFormat="false" ht="15" hidden="false" customHeight="false" outlineLevel="0" collapsed="false">
      <c r="A40" s="21" t="n">
        <v>35</v>
      </c>
      <c r="B40" s="22" t="n">
        <f aca="false">C40/前提条件!$D$10</f>
        <v>4190.09158340327</v>
      </c>
      <c r="C40" s="22" t="n">
        <f aca="false">C39*(1+IF($A40&lt;=12,前提条件!$D$7,IF($A40&lt;=24,前提条件!$D$8,前提条件!$D$9)))</f>
        <v>1257.02747502098</v>
      </c>
      <c r="D40" s="22" t="n">
        <f aca="false">D39+C40</f>
        <v>27782.5729472885</v>
      </c>
      <c r="E40" s="23" t="n">
        <f aca="false">MAX(0,E39*(1-前提条件!$D$12)+C40*前提条件!$D$11-I40)</f>
        <v>4012.73033497304</v>
      </c>
      <c r="F40" s="23" t="n">
        <f aca="false">F39*(1-前提条件!$D$15)+I40</f>
        <v>2363.86830104068</v>
      </c>
      <c r="G40" s="23" t="n">
        <f aca="false">E40+F40</f>
        <v>6376.59863601372</v>
      </c>
      <c r="H40" s="24" t="n">
        <f aca="false">前提条件!$D$13*MIN(1,$A40/前提条件!$D$14)</f>
        <v>0.05</v>
      </c>
      <c r="I40" s="23" t="n">
        <f aca="false">E39*H40</f>
        <v>195.856134728045</v>
      </c>
      <c r="J40" s="25" t="n">
        <f aca="false">F40*前提条件!$D$16</f>
        <v>1465598.34664522</v>
      </c>
      <c r="K40" s="23" t="n">
        <f aca="false">IF($A40&lt;前提条件!$D$18,0,IF($A40&lt;=12,前提条件!$D$19,IF($A40&lt;=24,前提条件!$D$20,前提条件!$D$21)))</f>
        <v>2.2</v>
      </c>
      <c r="L40" s="23" t="n">
        <f aca="false">L39*(1-前提条件!$D$22)+K40</f>
        <v>38.1798378004713</v>
      </c>
      <c r="M40" s="25" t="n">
        <f aca="false">L40*前提条件!$D$23</f>
        <v>99267.5782812253</v>
      </c>
      <c r="N40" s="26" t="n">
        <f aca="false">J40+M40</f>
        <v>1564865.92492644</v>
      </c>
      <c r="O40" s="25" t="n">
        <f aca="false">IF($A40&lt;=12,前提条件!$D$25,前提条件!$D$26)</f>
        <v>30000</v>
      </c>
      <c r="P40" s="25" t="n">
        <f aca="false">G40*前提条件!$D$27</f>
        <v>19129.7959080411</v>
      </c>
      <c r="Q40" s="25" t="n">
        <f aca="false">F40*前提条件!$D$28</f>
        <v>18910.9464083254</v>
      </c>
      <c r="R40" s="25" t="n">
        <f aca="false">N40*前提条件!$D$30</f>
        <v>125189.273994116</v>
      </c>
      <c r="S40" s="25" t="n">
        <f aca="false">IF($A40&lt;=12,前提条件!$D$31,IF($A40&lt;=24,前提条件!$D$32,前提条件!$D$33))</f>
        <v>120000</v>
      </c>
      <c r="T40" s="25" t="n">
        <f aca="false">IF(F40&gt;=前提条件!$D$34,前提条件!$D$35,0)</f>
        <v>50000</v>
      </c>
      <c r="U40" s="25" t="n">
        <f aca="false">IF(L40&gt;=前提条件!$D$36,前提条件!$D$37,0)</f>
        <v>80000</v>
      </c>
      <c r="V40" s="25" t="n">
        <f aca="false">(O40+P40+Q40+R40+S40+T40+U40)*前提条件!$D$38</f>
        <v>44323.0016310482</v>
      </c>
      <c r="W40" s="26" t="n">
        <f aca="false">O40+P40+Q40+R40+S40+T40+U40+V40</f>
        <v>487553.01794153</v>
      </c>
      <c r="X40" s="26" t="n">
        <f aca="false">N40-W40</f>
        <v>1077312.90698491</v>
      </c>
      <c r="Y40" s="26" t="n">
        <f aca="false">Y39+X40</f>
        <v>10653820.0208823</v>
      </c>
    </row>
    <row r="41" customFormat="false" ht="15" hidden="false" customHeight="false" outlineLevel="0" collapsed="false">
      <c r="A41" s="27" t="n">
        <v>36</v>
      </c>
      <c r="B41" s="28" t="n">
        <f aca="false">C41/前提条件!$D$10</f>
        <v>4273.89341507133</v>
      </c>
      <c r="C41" s="28" t="n">
        <f aca="false">C40*(1+IF($A41&lt;=12,前提条件!$D$7,IF($A41&lt;=24,前提条件!$D$8,前提条件!$D$9)))</f>
        <v>1282.1680245214</v>
      </c>
      <c r="D41" s="28" t="n">
        <f aca="false">D40+C41</f>
        <v>29064.7409718099</v>
      </c>
      <c r="E41" s="29" t="n">
        <f aca="false">MAX(0,E40*(1-前提条件!$D$12)+C41*前提条件!$D$11-I41)</f>
        <v>4108.17830581091</v>
      </c>
      <c r="F41" s="29" t="n">
        <f aca="false">F40*(1-前提条件!$D$15)+I41</f>
        <v>2469.9500857477</v>
      </c>
      <c r="G41" s="29" t="n">
        <f aca="false">E41+F41</f>
        <v>6578.12839155861</v>
      </c>
      <c r="H41" s="30" t="n">
        <f aca="false">前提条件!$D$13*MIN(1,$A41/前提条件!$D$14)</f>
        <v>0.05</v>
      </c>
      <c r="I41" s="29" t="n">
        <f aca="false">E40*H41</f>
        <v>200.636516748652</v>
      </c>
      <c r="J41" s="31" t="n">
        <f aca="false">F41*前提条件!$D$16</f>
        <v>1531369.05316357</v>
      </c>
      <c r="K41" s="29" t="n">
        <f aca="false">IF($A41&lt;前提条件!$D$18,0,IF($A41&lt;=12,前提条件!$D$19,IF($A41&lt;=24,前提条件!$D$20,前提条件!$D$21)))</f>
        <v>2.2</v>
      </c>
      <c r="L41" s="29" t="n">
        <f aca="false">L40*(1-前提条件!$D$22)+K41</f>
        <v>39.4253418554595</v>
      </c>
      <c r="M41" s="31" t="n">
        <f aca="false">L41*前提条件!$D$23</f>
        <v>102505.888824195</v>
      </c>
      <c r="N41" s="32" t="n">
        <f aca="false">J41+M41</f>
        <v>1633874.94198777</v>
      </c>
      <c r="O41" s="31" t="n">
        <f aca="false">IF($A41&lt;=12,前提条件!$D$25,前提条件!$D$26)</f>
        <v>30000</v>
      </c>
      <c r="P41" s="31" t="n">
        <f aca="false">G41*前提条件!$D$27</f>
        <v>19734.3851746758</v>
      </c>
      <c r="Q41" s="31" t="n">
        <f aca="false">F41*前提条件!$D$28</f>
        <v>19759.6006859816</v>
      </c>
      <c r="R41" s="31" t="n">
        <f aca="false">N41*前提条件!$D$30</f>
        <v>130709.995359022</v>
      </c>
      <c r="S41" s="31" t="n">
        <f aca="false">IF($A41&lt;=12,前提条件!$D$31,IF($A41&lt;=24,前提条件!$D$32,前提条件!$D$33))</f>
        <v>120000</v>
      </c>
      <c r="T41" s="31" t="n">
        <f aca="false">IF(F41&gt;=前提条件!$D$34,前提条件!$D$35,0)</f>
        <v>50000</v>
      </c>
      <c r="U41" s="31" t="n">
        <f aca="false">IF(L41&gt;=前提条件!$D$36,前提条件!$D$37,0)</f>
        <v>80000</v>
      </c>
      <c r="V41" s="31" t="n">
        <f aca="false">(O41+P41+Q41+R41+S41+T41+U41)*前提条件!$D$38</f>
        <v>45020.3981219679</v>
      </c>
      <c r="W41" s="32" t="n">
        <f aca="false">O41+P41+Q41+R41+S41+T41+U41+V41</f>
        <v>495224.379341647</v>
      </c>
      <c r="X41" s="32" t="n">
        <f aca="false">N41-W41</f>
        <v>1138650.56264612</v>
      </c>
      <c r="Y41" s="32" t="n">
        <f aca="false">Y40+X41</f>
        <v>11792470.5835284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AD47"/>
    <pageSetUpPr fitToPage="false"/>
  </sheetPr>
  <dimension ref="A1:Y4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5" min="2" style="0" width="15"/>
  </cols>
  <sheetData>
    <row r="1" customFormat="false" ht="21.6" hidden="false" customHeight="false" outlineLevel="0" collapsed="false">
      <c r="A1" s="1" t="s">
        <v>130</v>
      </c>
    </row>
    <row r="2" customFormat="false" ht="15" hidden="false" customHeight="false" outlineLevel="0" collapsed="false">
      <c r="A2" s="5" t="s">
        <v>103</v>
      </c>
    </row>
    <row r="4" customFormat="false" ht="42" hidden="false" customHeight="true" outlineLevel="0" collapsed="false">
      <c r="A4" s="6" t="s">
        <v>104</v>
      </c>
      <c r="B4" s="6" t="s">
        <v>105</v>
      </c>
      <c r="C4" s="6" t="s">
        <v>106</v>
      </c>
      <c r="D4" s="6" t="s">
        <v>107</v>
      </c>
      <c r="E4" s="6" t="s">
        <v>108</v>
      </c>
      <c r="F4" s="6" t="s">
        <v>109</v>
      </c>
      <c r="G4" s="19" t="s">
        <v>110</v>
      </c>
      <c r="H4" s="6" t="s">
        <v>111</v>
      </c>
      <c r="I4" s="6" t="s">
        <v>112</v>
      </c>
      <c r="J4" s="6" t="s">
        <v>113</v>
      </c>
      <c r="K4" s="6" t="s">
        <v>114</v>
      </c>
      <c r="L4" s="6" t="s">
        <v>115</v>
      </c>
      <c r="M4" s="6" t="s">
        <v>116</v>
      </c>
      <c r="N4" s="6" t="s">
        <v>117</v>
      </c>
      <c r="O4" s="6" t="s">
        <v>118</v>
      </c>
      <c r="P4" s="19" t="s">
        <v>119</v>
      </c>
      <c r="Q4" s="19" t="s">
        <v>120</v>
      </c>
      <c r="R4" s="6" t="s">
        <v>121</v>
      </c>
      <c r="S4" s="6" t="s">
        <v>122</v>
      </c>
      <c r="T4" s="19" t="s">
        <v>123</v>
      </c>
      <c r="U4" s="6" t="s">
        <v>124</v>
      </c>
      <c r="V4" s="6" t="s">
        <v>125</v>
      </c>
      <c r="W4" s="6" t="s">
        <v>126</v>
      </c>
      <c r="X4" s="6" t="s">
        <v>127</v>
      </c>
      <c r="Y4" s="6" t="s">
        <v>128</v>
      </c>
    </row>
    <row r="5" customFormat="false" ht="15" hidden="false" customHeight="false" outlineLevel="0" collapsed="false">
      <c r="A5" s="20" t="n">
        <v>0</v>
      </c>
      <c r="B5" s="20" t="n">
        <v>0</v>
      </c>
      <c r="C5" s="20" t="n">
        <v>0</v>
      </c>
      <c r="D5" s="20" t="n">
        <v>0</v>
      </c>
      <c r="E5" s="20" t="n">
        <v>0</v>
      </c>
      <c r="F5" s="20" t="n">
        <v>0</v>
      </c>
      <c r="G5" s="20" t="n">
        <v>0</v>
      </c>
      <c r="H5" s="20" t="n">
        <v>0</v>
      </c>
      <c r="I5" s="20" t="n">
        <v>0</v>
      </c>
      <c r="J5" s="20" t="n">
        <v>0</v>
      </c>
      <c r="K5" s="20" t="n">
        <v>0</v>
      </c>
      <c r="L5" s="20" t="n">
        <v>0</v>
      </c>
      <c r="M5" s="20" t="n">
        <v>0</v>
      </c>
      <c r="N5" s="20" t="n">
        <v>0</v>
      </c>
      <c r="O5" s="20" t="n">
        <v>0</v>
      </c>
      <c r="P5" s="20" t="n">
        <v>0</v>
      </c>
      <c r="Q5" s="20" t="n">
        <v>0</v>
      </c>
      <c r="R5" s="20" t="n">
        <v>0</v>
      </c>
      <c r="S5" s="20" t="n">
        <v>0</v>
      </c>
      <c r="T5" s="20" t="n">
        <v>0</v>
      </c>
      <c r="U5" s="20" t="n">
        <v>0</v>
      </c>
      <c r="V5" s="20" t="n">
        <v>0</v>
      </c>
      <c r="W5" s="20" t="n">
        <v>0</v>
      </c>
      <c r="X5" s="20" t="n">
        <v>0</v>
      </c>
      <c r="Y5" s="20" t="n">
        <v>0</v>
      </c>
    </row>
    <row r="6" customFormat="false" ht="15" hidden="false" customHeight="false" outlineLevel="0" collapsed="false">
      <c r="A6" s="21" t="n">
        <v>1</v>
      </c>
      <c r="B6" s="22" t="n">
        <f aca="false">C6/前提条件!$E$10</f>
        <v>1428.57142857143</v>
      </c>
      <c r="C6" s="22" t="n">
        <f aca="false">前提条件!$E$6</f>
        <v>500</v>
      </c>
      <c r="D6" s="22" t="n">
        <f aca="false">D5+C6</f>
        <v>500</v>
      </c>
      <c r="E6" s="23" t="n">
        <f aca="false">MAX(0,E5*(1-前提条件!$E$12)+C6*前提条件!$E$11-I6)</f>
        <v>275</v>
      </c>
      <c r="F6" s="23" t="n">
        <f aca="false">F5*(1-前提条件!$E$15)+I6</f>
        <v>0</v>
      </c>
      <c r="G6" s="23" t="n">
        <f aca="false">E6+F6</f>
        <v>275</v>
      </c>
      <c r="H6" s="24" t="n">
        <f aca="false">前提条件!$E$13*MIN(1,$A6/前提条件!$E$14)</f>
        <v>0.02</v>
      </c>
      <c r="I6" s="23" t="n">
        <f aca="false">E5*H6</f>
        <v>0</v>
      </c>
      <c r="J6" s="25" t="n">
        <f aca="false">F6*前提条件!$E$16</f>
        <v>0</v>
      </c>
      <c r="K6" s="23" t="n">
        <f aca="false">IF($A6&lt;前提条件!$E$18,0,IF($A6&lt;=12,前提条件!$E$19,IF($A6&lt;=24,前提条件!$E$20,前提条件!$E$21)))</f>
        <v>0</v>
      </c>
      <c r="L6" s="23" t="n">
        <f aca="false">L5*(1-前提条件!$E$22)+K6</f>
        <v>0</v>
      </c>
      <c r="M6" s="25" t="n">
        <f aca="false">L6*前提条件!$E$23</f>
        <v>0</v>
      </c>
      <c r="N6" s="26" t="n">
        <f aca="false">J6+M6</f>
        <v>0</v>
      </c>
      <c r="O6" s="25" t="n">
        <f aca="false">IF($A6&lt;=12,前提条件!$E$25,前提条件!$E$26)</f>
        <v>18000</v>
      </c>
      <c r="P6" s="25" t="n">
        <f aca="false">G6*前提条件!$E$27</f>
        <v>825</v>
      </c>
      <c r="Q6" s="25" t="n">
        <f aca="false">F6*前提条件!$E$28</f>
        <v>0</v>
      </c>
      <c r="R6" s="25" t="n">
        <f aca="false">N6*前提条件!$E$30</f>
        <v>0</v>
      </c>
      <c r="S6" s="25" t="n">
        <f aca="false">IF($A6&lt;=12,前提条件!$E$31,IF($A6&lt;=24,前提条件!$E$32,前提条件!$E$33))</f>
        <v>150000</v>
      </c>
      <c r="T6" s="25" t="n">
        <f aca="false">IF(F6&gt;=前提条件!$E$34,前提条件!$E$35,0)</f>
        <v>0</v>
      </c>
      <c r="U6" s="25" t="n">
        <f aca="false">IF(L6&gt;=前提条件!$E$36,前提条件!$E$37,0)</f>
        <v>0</v>
      </c>
      <c r="V6" s="25" t="n">
        <f aca="false">(O6+P6+Q6+R6+S6+T6+U6)*前提条件!$E$38</f>
        <v>16882.5</v>
      </c>
      <c r="W6" s="26" t="n">
        <f aca="false">O6+P6+Q6+R6+S6+T6+U6+V6</f>
        <v>185707.5</v>
      </c>
      <c r="X6" s="26" t="n">
        <f aca="false">N6-W6</f>
        <v>-185707.5</v>
      </c>
      <c r="Y6" s="26" t="n">
        <f aca="false">Y5+X6</f>
        <v>-185707.5</v>
      </c>
    </row>
    <row r="7" customFormat="false" ht="15" hidden="false" customHeight="false" outlineLevel="0" collapsed="false">
      <c r="A7" s="21" t="n">
        <v>2</v>
      </c>
      <c r="B7" s="22" t="n">
        <f aca="false">C7/前提条件!$E$10</f>
        <v>1571.42857142857</v>
      </c>
      <c r="C7" s="22" t="n">
        <f aca="false">C6*(1+IF($A7&lt;=12,前提条件!$E$7,IF($A7&lt;=24,前提条件!$E$8,前提条件!$E$9)))</f>
        <v>550</v>
      </c>
      <c r="D7" s="22" t="n">
        <f aca="false">D6+C7</f>
        <v>1050</v>
      </c>
      <c r="E7" s="23" t="n">
        <f aca="false">MAX(0,E6*(1-前提条件!$E$12)+C7*前提条件!$E$11-I7)</f>
        <v>550</v>
      </c>
      <c r="F7" s="23" t="n">
        <f aca="false">F6*(1-前提条件!$E$15)+I7</f>
        <v>11</v>
      </c>
      <c r="G7" s="23" t="n">
        <f aca="false">E7+F7</f>
        <v>561</v>
      </c>
      <c r="H7" s="24" t="n">
        <f aca="false">前提条件!$E$13*MIN(1,$A7/前提条件!$E$14)</f>
        <v>0.04</v>
      </c>
      <c r="I7" s="23" t="n">
        <f aca="false">E6*H7</f>
        <v>11</v>
      </c>
      <c r="J7" s="25" t="n">
        <f aca="false">F7*前提条件!$E$16</f>
        <v>7700</v>
      </c>
      <c r="K7" s="23" t="n">
        <f aca="false">IF($A7&lt;前提条件!$E$18,0,IF($A7&lt;=12,前提条件!$E$19,IF($A7&lt;=24,前提条件!$E$20,前提条件!$E$21)))</f>
        <v>0</v>
      </c>
      <c r="L7" s="23" t="n">
        <f aca="false">L6*(1-前提条件!$E$22)+K7</f>
        <v>0</v>
      </c>
      <c r="M7" s="25" t="n">
        <f aca="false">L7*前提条件!$E$23</f>
        <v>0</v>
      </c>
      <c r="N7" s="26" t="n">
        <f aca="false">J7+M7</f>
        <v>7700</v>
      </c>
      <c r="O7" s="25" t="n">
        <f aca="false">IF($A7&lt;=12,前提条件!$E$25,前提条件!$E$26)</f>
        <v>18000</v>
      </c>
      <c r="P7" s="25" t="n">
        <f aca="false">G7*前提条件!$E$27</f>
        <v>1683</v>
      </c>
      <c r="Q7" s="25" t="n">
        <f aca="false">F7*前提条件!$E$28</f>
        <v>88</v>
      </c>
      <c r="R7" s="25" t="n">
        <f aca="false">N7*前提条件!$E$30</f>
        <v>616</v>
      </c>
      <c r="S7" s="25" t="n">
        <f aca="false">IF($A7&lt;=12,前提条件!$E$31,IF($A7&lt;=24,前提条件!$E$32,前提条件!$E$33))</f>
        <v>150000</v>
      </c>
      <c r="T7" s="25" t="n">
        <f aca="false">IF(F7&gt;=前提条件!$E$34,前提条件!$E$35,0)</f>
        <v>0</v>
      </c>
      <c r="U7" s="25" t="n">
        <f aca="false">IF(L7&gt;=前提条件!$E$36,前提条件!$E$37,0)</f>
        <v>0</v>
      </c>
      <c r="V7" s="25" t="n">
        <f aca="false">(O7+P7+Q7+R7+S7+T7+U7)*前提条件!$E$38</f>
        <v>17038.7</v>
      </c>
      <c r="W7" s="26" t="n">
        <f aca="false">O7+P7+Q7+R7+S7+T7+U7+V7</f>
        <v>187425.7</v>
      </c>
      <c r="X7" s="26" t="n">
        <f aca="false">N7-W7</f>
        <v>-179725.7</v>
      </c>
      <c r="Y7" s="26" t="n">
        <f aca="false">Y6+X7</f>
        <v>-365433.2</v>
      </c>
    </row>
    <row r="8" customFormat="false" ht="15" hidden="false" customHeight="false" outlineLevel="0" collapsed="false">
      <c r="A8" s="21" t="n">
        <v>3</v>
      </c>
      <c r="B8" s="22" t="n">
        <f aca="false">C8/前提条件!$E$10</f>
        <v>1728.57142857143</v>
      </c>
      <c r="C8" s="22" t="n">
        <f aca="false">C7*(1+IF($A8&lt;=12,前提条件!$E$7,IF($A8&lt;=24,前提条件!$E$8,前提条件!$E$9)))</f>
        <v>605</v>
      </c>
      <c r="D8" s="22" t="n">
        <f aca="false">D7+C8</f>
        <v>1655</v>
      </c>
      <c r="E8" s="23" t="n">
        <f aca="false">MAX(0,E7*(1-前提条件!$E$12)+C8*前提条件!$E$11-I8)</f>
        <v>816.75</v>
      </c>
      <c r="F8" s="23" t="n">
        <f aca="false">F7*(1-前提条件!$E$15)+I8</f>
        <v>43.67</v>
      </c>
      <c r="G8" s="23" t="n">
        <f aca="false">E8+F8</f>
        <v>860.42</v>
      </c>
      <c r="H8" s="24" t="n">
        <f aca="false">前提条件!$E$13*MIN(1,$A8/前提条件!$E$14)</f>
        <v>0.06</v>
      </c>
      <c r="I8" s="23" t="n">
        <f aca="false">E7*H8</f>
        <v>33</v>
      </c>
      <c r="J8" s="25" t="n">
        <f aca="false">F8*前提条件!$E$16</f>
        <v>30569</v>
      </c>
      <c r="K8" s="23" t="n">
        <f aca="false">IF($A8&lt;前提条件!$E$18,0,IF($A8&lt;=12,前提条件!$E$19,IF($A8&lt;=24,前提条件!$E$20,前提条件!$E$21)))</f>
        <v>0</v>
      </c>
      <c r="L8" s="23" t="n">
        <f aca="false">L7*(1-前提条件!$E$22)+K8</f>
        <v>0</v>
      </c>
      <c r="M8" s="25" t="n">
        <f aca="false">L8*前提条件!$E$23</f>
        <v>0</v>
      </c>
      <c r="N8" s="26" t="n">
        <f aca="false">J8+M8</f>
        <v>30569</v>
      </c>
      <c r="O8" s="25" t="n">
        <f aca="false">IF($A8&lt;=12,前提条件!$E$25,前提条件!$E$26)</f>
        <v>18000</v>
      </c>
      <c r="P8" s="25" t="n">
        <f aca="false">G8*前提条件!$E$27</f>
        <v>2581.26</v>
      </c>
      <c r="Q8" s="25" t="n">
        <f aca="false">F8*前提条件!$E$28</f>
        <v>349.36</v>
      </c>
      <c r="R8" s="25" t="n">
        <f aca="false">N8*前提条件!$E$30</f>
        <v>2445.52</v>
      </c>
      <c r="S8" s="25" t="n">
        <f aca="false">IF($A8&lt;=12,前提条件!$E$31,IF($A8&lt;=24,前提条件!$E$32,前提条件!$E$33))</f>
        <v>150000</v>
      </c>
      <c r="T8" s="25" t="n">
        <f aca="false">IF(F8&gt;=前提条件!$E$34,前提条件!$E$35,0)</f>
        <v>0</v>
      </c>
      <c r="U8" s="25" t="n">
        <f aca="false">IF(L8&gt;=前提条件!$E$36,前提条件!$E$37,0)</f>
        <v>0</v>
      </c>
      <c r="V8" s="25" t="n">
        <f aca="false">(O8+P8+Q8+R8+S8+T8+U8)*前提条件!$E$38</f>
        <v>17337.614</v>
      </c>
      <c r="W8" s="26" t="n">
        <f aca="false">O8+P8+Q8+R8+S8+T8+U8+V8</f>
        <v>190713.754</v>
      </c>
      <c r="X8" s="26" t="n">
        <f aca="false">N8-W8</f>
        <v>-160144.754</v>
      </c>
      <c r="Y8" s="26" t="n">
        <f aca="false">Y7+X8</f>
        <v>-525577.954</v>
      </c>
    </row>
    <row r="9" customFormat="false" ht="15" hidden="false" customHeight="false" outlineLevel="0" collapsed="false">
      <c r="A9" s="21" t="n">
        <v>4</v>
      </c>
      <c r="B9" s="22" t="n">
        <f aca="false">C9/前提条件!$E$10</f>
        <v>1901.42857142857</v>
      </c>
      <c r="C9" s="22" t="n">
        <f aca="false">C8*(1+IF($A9&lt;=12,前提条件!$E$7,IF($A9&lt;=24,前提条件!$E$8,前提条件!$E$9)))</f>
        <v>665.5</v>
      </c>
      <c r="D9" s="22" t="n">
        <f aca="false">D8+C9</f>
        <v>2320.5</v>
      </c>
      <c r="E9" s="23" t="n">
        <f aca="false">MAX(0,E8*(1-前提条件!$E$12)+C9*前提条件!$E$11-I9)</f>
        <v>1068.43</v>
      </c>
      <c r="F9" s="23" t="n">
        <f aca="false">F8*(1-前提条件!$E$15)+I9</f>
        <v>107.6999</v>
      </c>
      <c r="G9" s="23" t="n">
        <f aca="false">E9+F9</f>
        <v>1176.1299</v>
      </c>
      <c r="H9" s="24" t="n">
        <f aca="false">前提条件!$E$13*MIN(1,$A9/前提条件!$E$14)</f>
        <v>0.08</v>
      </c>
      <c r="I9" s="23" t="n">
        <f aca="false">E8*H9</f>
        <v>65.34</v>
      </c>
      <c r="J9" s="25" t="n">
        <f aca="false">F9*前提条件!$E$16</f>
        <v>75389.93</v>
      </c>
      <c r="K9" s="23" t="n">
        <f aca="false">IF($A9&lt;前提条件!$E$18,0,IF($A9&lt;=12,前提条件!$E$19,IF($A9&lt;=24,前提条件!$E$20,前提条件!$E$21)))</f>
        <v>1.8</v>
      </c>
      <c r="L9" s="23" t="n">
        <f aca="false">L8*(1-前提条件!$E$22)+K9</f>
        <v>1.8</v>
      </c>
      <c r="M9" s="25" t="n">
        <f aca="false">L9*前提条件!$E$23</f>
        <v>5760</v>
      </c>
      <c r="N9" s="26" t="n">
        <f aca="false">J9+M9</f>
        <v>81149.93</v>
      </c>
      <c r="O9" s="25" t="n">
        <f aca="false">IF($A9&lt;=12,前提条件!$E$25,前提条件!$E$26)</f>
        <v>18000</v>
      </c>
      <c r="P9" s="25" t="n">
        <f aca="false">G9*前提条件!$E$27</f>
        <v>3528.3897</v>
      </c>
      <c r="Q9" s="25" t="n">
        <f aca="false">F9*前提条件!$E$28</f>
        <v>861.5992</v>
      </c>
      <c r="R9" s="25" t="n">
        <f aca="false">N9*前提条件!$E$30</f>
        <v>6491.9944</v>
      </c>
      <c r="S9" s="25" t="n">
        <f aca="false">IF($A9&lt;=12,前提条件!$E$31,IF($A9&lt;=24,前提条件!$E$32,前提条件!$E$33))</f>
        <v>150000</v>
      </c>
      <c r="T9" s="25" t="n">
        <f aca="false">IF(F9&gt;=前提条件!$E$34,前提条件!$E$35,0)</f>
        <v>0</v>
      </c>
      <c r="U9" s="25" t="n">
        <f aca="false">IF(L9&gt;=前提条件!$E$36,前提条件!$E$37,0)</f>
        <v>0</v>
      </c>
      <c r="V9" s="25" t="n">
        <f aca="false">(O9+P9+Q9+R9+S9+T9+U9)*前提条件!$E$38</f>
        <v>17888.19833</v>
      </c>
      <c r="W9" s="26" t="n">
        <f aca="false">O9+P9+Q9+R9+S9+T9+U9+V9</f>
        <v>196770.18163</v>
      </c>
      <c r="X9" s="26" t="n">
        <f aca="false">N9-W9</f>
        <v>-115620.25163</v>
      </c>
      <c r="Y9" s="26" t="n">
        <f aca="false">Y8+X9</f>
        <v>-641198.20563</v>
      </c>
    </row>
    <row r="10" customFormat="false" ht="15" hidden="false" customHeight="false" outlineLevel="0" collapsed="false">
      <c r="A10" s="21" t="n">
        <v>5</v>
      </c>
      <c r="B10" s="22" t="n">
        <f aca="false">C10/前提条件!$E$10</f>
        <v>2091.57142857143</v>
      </c>
      <c r="C10" s="22" t="n">
        <f aca="false">C9*(1+IF($A10&lt;=12,前提条件!$E$7,IF($A10&lt;=24,前提条件!$E$8,前提条件!$E$9)))</f>
        <v>732.05</v>
      </c>
      <c r="D10" s="22" t="n">
        <f aca="false">D9+C10</f>
        <v>3052.55</v>
      </c>
      <c r="E10" s="23" t="n">
        <f aca="false">MAX(0,E9*(1-前提条件!$E$12)+C10*前提条件!$E$11-I10)</f>
        <v>1321.4773</v>
      </c>
      <c r="F10" s="23" t="n">
        <f aca="false">F9*(1-前提条件!$E$15)+I10</f>
        <v>189.943303</v>
      </c>
      <c r="G10" s="23" t="n">
        <f aca="false">E10+F10</f>
        <v>1511.420603</v>
      </c>
      <c r="H10" s="24" t="n">
        <f aca="false">前提条件!$E$13*MIN(1,$A10/前提条件!$E$14)</f>
        <v>0.08</v>
      </c>
      <c r="I10" s="23" t="n">
        <f aca="false">E9*H10</f>
        <v>85.4744</v>
      </c>
      <c r="J10" s="25" t="n">
        <f aca="false">F10*前提条件!$E$16</f>
        <v>132960.3121</v>
      </c>
      <c r="K10" s="23" t="n">
        <f aca="false">IF($A10&lt;前提条件!$E$18,0,IF($A10&lt;=12,前提条件!$E$19,IF($A10&lt;=24,前提条件!$E$20,前提条件!$E$21)))</f>
        <v>1.8</v>
      </c>
      <c r="L10" s="23" t="n">
        <f aca="false">L9*(1-前提条件!$E$22)+K10</f>
        <v>3.564</v>
      </c>
      <c r="M10" s="25" t="n">
        <f aca="false">L10*前提条件!$E$23</f>
        <v>11404.8</v>
      </c>
      <c r="N10" s="26" t="n">
        <f aca="false">J10+M10</f>
        <v>144365.1121</v>
      </c>
      <c r="O10" s="25" t="n">
        <f aca="false">IF($A10&lt;=12,前提条件!$E$25,前提条件!$E$26)</f>
        <v>18000</v>
      </c>
      <c r="P10" s="25" t="n">
        <f aca="false">G10*前提条件!$E$27</f>
        <v>4534.261809</v>
      </c>
      <c r="Q10" s="25" t="n">
        <f aca="false">F10*前提条件!$E$28</f>
        <v>1519.546424</v>
      </c>
      <c r="R10" s="25" t="n">
        <f aca="false">N10*前提条件!$E$30</f>
        <v>11549.208968</v>
      </c>
      <c r="S10" s="25" t="n">
        <f aca="false">IF($A10&lt;=12,前提条件!$E$31,IF($A10&lt;=24,前提条件!$E$32,前提条件!$E$33))</f>
        <v>150000</v>
      </c>
      <c r="T10" s="25" t="n">
        <f aca="false">IF(F10&gt;=前提条件!$E$34,前提条件!$E$35,0)</f>
        <v>0</v>
      </c>
      <c r="U10" s="25" t="n">
        <f aca="false">IF(L10&gt;=前提条件!$E$36,前提条件!$E$37,0)</f>
        <v>0</v>
      </c>
      <c r="V10" s="25" t="n">
        <f aca="false">(O10+P10+Q10+R10+S10+T10+U10)*前提条件!$E$38</f>
        <v>18560.3017201</v>
      </c>
      <c r="W10" s="26" t="n">
        <f aca="false">O10+P10+Q10+R10+S10+T10+U10+V10</f>
        <v>204163.3189211</v>
      </c>
      <c r="X10" s="26" t="n">
        <f aca="false">N10-W10</f>
        <v>-59798.2068211</v>
      </c>
      <c r="Y10" s="26" t="n">
        <f aca="false">Y9+X10</f>
        <v>-700996.4124511</v>
      </c>
    </row>
    <row r="11" customFormat="false" ht="15" hidden="false" customHeight="false" outlineLevel="0" collapsed="false">
      <c r="A11" s="21" t="n">
        <v>6</v>
      </c>
      <c r="B11" s="22" t="n">
        <f aca="false">C11/前提条件!$E$10</f>
        <v>2300.72857142857</v>
      </c>
      <c r="C11" s="22" t="n">
        <f aca="false">C10*(1+IF($A11&lt;=12,前提条件!$E$7,IF($A11&lt;=24,前提条件!$E$8,前提条件!$E$9)))</f>
        <v>805.255</v>
      </c>
      <c r="D11" s="22" t="n">
        <f aca="false">D10+C11</f>
        <v>3857.805</v>
      </c>
      <c r="E11" s="23" t="n">
        <f aca="false">MAX(0,E10*(1-前提条件!$E$12)+C11*前提条件!$E$11-I11)</f>
        <v>1579.360728</v>
      </c>
      <c r="F11" s="23" t="n">
        <f aca="false">F10*(1-前提条件!$E$15)+I11</f>
        <v>289.96318791</v>
      </c>
      <c r="G11" s="23" t="n">
        <f aca="false">E11+F11</f>
        <v>1869.32391591</v>
      </c>
      <c r="H11" s="24" t="n">
        <f aca="false">前提条件!$E$13*MIN(1,$A11/前提条件!$E$14)</f>
        <v>0.08</v>
      </c>
      <c r="I11" s="23" t="n">
        <f aca="false">E10*H11</f>
        <v>105.718184</v>
      </c>
      <c r="J11" s="25" t="n">
        <f aca="false">F11*前提条件!$E$16</f>
        <v>202974.231537</v>
      </c>
      <c r="K11" s="23" t="n">
        <f aca="false">IF($A11&lt;前提条件!$E$18,0,IF($A11&lt;=12,前提条件!$E$19,IF($A11&lt;=24,前提条件!$E$20,前提条件!$E$21)))</f>
        <v>1.8</v>
      </c>
      <c r="L11" s="23" t="n">
        <f aca="false">L10*(1-前提条件!$E$22)+K11</f>
        <v>5.29272</v>
      </c>
      <c r="M11" s="25" t="n">
        <f aca="false">L11*前提条件!$E$23</f>
        <v>16936.704</v>
      </c>
      <c r="N11" s="26" t="n">
        <f aca="false">J11+M11</f>
        <v>219910.935537</v>
      </c>
      <c r="O11" s="25" t="n">
        <f aca="false">IF($A11&lt;=12,前提条件!$E$25,前提条件!$E$26)</f>
        <v>18000</v>
      </c>
      <c r="P11" s="25" t="n">
        <f aca="false">G11*前提条件!$E$27</f>
        <v>5607.97174773</v>
      </c>
      <c r="Q11" s="25" t="n">
        <f aca="false">F11*前提条件!$E$28</f>
        <v>2319.70550328</v>
      </c>
      <c r="R11" s="25" t="n">
        <f aca="false">N11*前提条件!$E$30</f>
        <v>17592.87484296</v>
      </c>
      <c r="S11" s="25" t="n">
        <f aca="false">IF($A11&lt;=12,前提条件!$E$31,IF($A11&lt;=24,前提条件!$E$32,前提条件!$E$33))</f>
        <v>150000</v>
      </c>
      <c r="T11" s="25" t="n">
        <f aca="false">IF(F11&gt;=前提条件!$E$34,前提条件!$E$35,0)</f>
        <v>0</v>
      </c>
      <c r="U11" s="25" t="n">
        <f aca="false">IF(L11&gt;=前提条件!$E$36,前提条件!$E$37,0)</f>
        <v>0</v>
      </c>
      <c r="V11" s="25" t="n">
        <f aca="false">(O11+P11+Q11+R11+S11+T11+U11)*前提条件!$E$38</f>
        <v>19352.055209397</v>
      </c>
      <c r="W11" s="26" t="n">
        <f aca="false">O11+P11+Q11+R11+S11+T11+U11+V11</f>
        <v>212872.607303367</v>
      </c>
      <c r="X11" s="26" t="n">
        <f aca="false">N11-W11</f>
        <v>7038.32823363299</v>
      </c>
      <c r="Y11" s="26" t="n">
        <f aca="false">Y10+X11</f>
        <v>-693958.084217467</v>
      </c>
    </row>
    <row r="12" customFormat="false" ht="15" hidden="false" customHeight="false" outlineLevel="0" collapsed="false">
      <c r="A12" s="21" t="n">
        <v>7</v>
      </c>
      <c r="B12" s="22" t="n">
        <f aca="false">C12/前提条件!$E$10</f>
        <v>2530.80142857143</v>
      </c>
      <c r="C12" s="22" t="n">
        <f aca="false">C11*(1+IF($A12&lt;=12,前提条件!$E$7,IF($A12&lt;=24,前提条件!$E$8,前提条件!$E$9)))</f>
        <v>885.7805</v>
      </c>
      <c r="D12" s="22" t="n">
        <f aca="false">D11+C12</f>
        <v>4743.5855</v>
      </c>
      <c r="E12" s="23" t="n">
        <f aca="false">MAX(0,E11*(1-前提条件!$E$12)+C12*前提条件!$E$11-I12)</f>
        <v>1845.42950108</v>
      </c>
      <c r="F12" s="23" t="n">
        <f aca="false">F11*(1-前提条件!$E$15)+I12</f>
        <v>407.6131505127</v>
      </c>
      <c r="G12" s="23" t="n">
        <f aca="false">E12+F12</f>
        <v>2253.0426515927</v>
      </c>
      <c r="H12" s="24" t="n">
        <f aca="false">前提条件!$E$13*MIN(1,$A12/前提条件!$E$14)</f>
        <v>0.08</v>
      </c>
      <c r="I12" s="23" t="n">
        <f aca="false">E11*H12</f>
        <v>126.34885824</v>
      </c>
      <c r="J12" s="25" t="n">
        <f aca="false">F12*前提条件!$E$16</f>
        <v>285329.20535889</v>
      </c>
      <c r="K12" s="23" t="n">
        <f aca="false">IF($A12&lt;前提条件!$E$18,0,IF($A12&lt;=12,前提条件!$E$19,IF($A12&lt;=24,前提条件!$E$20,前提条件!$E$21)))</f>
        <v>1.8</v>
      </c>
      <c r="L12" s="23" t="n">
        <f aca="false">L11*(1-前提条件!$E$22)+K12</f>
        <v>6.9868656</v>
      </c>
      <c r="M12" s="25" t="n">
        <f aca="false">L12*前提条件!$E$23</f>
        <v>22357.96992</v>
      </c>
      <c r="N12" s="26" t="n">
        <f aca="false">J12+M12</f>
        <v>307687.17527889</v>
      </c>
      <c r="O12" s="25" t="n">
        <f aca="false">IF($A12&lt;=12,前提条件!$E$25,前提条件!$E$26)</f>
        <v>18000</v>
      </c>
      <c r="P12" s="25" t="n">
        <f aca="false">G12*前提条件!$E$27</f>
        <v>6759.1279547781</v>
      </c>
      <c r="Q12" s="25" t="n">
        <f aca="false">F12*前提条件!$E$28</f>
        <v>3260.9052041016</v>
      </c>
      <c r="R12" s="25" t="n">
        <f aca="false">N12*前提条件!$E$30</f>
        <v>24614.9740223112</v>
      </c>
      <c r="S12" s="25" t="n">
        <f aca="false">IF($A12&lt;=12,前提条件!$E$31,IF($A12&lt;=24,前提条件!$E$32,前提条件!$E$33))</f>
        <v>150000</v>
      </c>
      <c r="T12" s="25" t="n">
        <f aca="false">IF(F12&gt;=前提条件!$E$34,前提条件!$E$35,0)</f>
        <v>0</v>
      </c>
      <c r="U12" s="25" t="n">
        <f aca="false">IF(L12&gt;=前提条件!$E$36,前提条件!$E$37,0)</f>
        <v>0</v>
      </c>
      <c r="V12" s="25" t="n">
        <f aca="false">(O12+P12+Q12+R12+S12+T12+U12)*前提条件!$E$38</f>
        <v>20263.5007181191</v>
      </c>
      <c r="W12" s="26" t="n">
        <f aca="false">O12+P12+Q12+R12+S12+T12+U12+V12</f>
        <v>222898.50789931</v>
      </c>
      <c r="X12" s="26" t="n">
        <f aca="false">N12-W12</f>
        <v>84788.66737958</v>
      </c>
      <c r="Y12" s="26" t="n">
        <f aca="false">Y11+X12</f>
        <v>-609169.416837887</v>
      </c>
    </row>
    <row r="13" customFormat="false" ht="15" hidden="false" customHeight="false" outlineLevel="0" collapsed="false">
      <c r="A13" s="21" t="n">
        <v>8</v>
      </c>
      <c r="B13" s="22" t="n">
        <f aca="false">C13/前提条件!$E$10</f>
        <v>2783.88157142857</v>
      </c>
      <c r="C13" s="22" t="n">
        <f aca="false">C12*(1+IF($A13&lt;=12,前提条件!$E$7,IF($A13&lt;=24,前提条件!$E$8,前提条件!$E$9)))</f>
        <v>974.35855</v>
      </c>
      <c r="D13" s="22" t="n">
        <f aca="false">D12+C13</f>
        <v>5717.94405</v>
      </c>
      <c r="E13" s="23" t="n">
        <f aca="false">MAX(0,E12*(1-前提条件!$E$12)+C13*前提条件!$E$11-I13)</f>
        <v>2122.9665734288</v>
      </c>
      <c r="F13" s="23" t="n">
        <f aca="false">F12*(1-前提条件!$E$15)+I13</f>
        <v>543.019116083719</v>
      </c>
      <c r="G13" s="23" t="n">
        <f aca="false">E13+F13</f>
        <v>2665.98568951252</v>
      </c>
      <c r="H13" s="24" t="n">
        <f aca="false">前提条件!$E$13*MIN(1,$A13/前提条件!$E$14)</f>
        <v>0.08</v>
      </c>
      <c r="I13" s="23" t="n">
        <f aca="false">E12*H13</f>
        <v>147.6343600864</v>
      </c>
      <c r="J13" s="25" t="n">
        <f aca="false">F13*前提条件!$E$16</f>
        <v>380113.381258603</v>
      </c>
      <c r="K13" s="23" t="n">
        <f aca="false">IF($A13&lt;前提条件!$E$18,0,IF($A13&lt;=12,前提条件!$E$19,IF($A13&lt;=24,前提条件!$E$20,前提条件!$E$21)))</f>
        <v>1.8</v>
      </c>
      <c r="L13" s="23" t="n">
        <f aca="false">L12*(1-前提条件!$E$22)+K13</f>
        <v>8.647128288</v>
      </c>
      <c r="M13" s="25" t="n">
        <f aca="false">L13*前提条件!$E$23</f>
        <v>27670.8105216</v>
      </c>
      <c r="N13" s="26" t="n">
        <f aca="false">J13+M13</f>
        <v>407784.191780203</v>
      </c>
      <c r="O13" s="25" t="n">
        <f aca="false">IF($A13&lt;=12,前提条件!$E$25,前提条件!$E$26)</f>
        <v>18000</v>
      </c>
      <c r="P13" s="25" t="n">
        <f aca="false">G13*前提条件!$E$27</f>
        <v>7997.95706853756</v>
      </c>
      <c r="Q13" s="25" t="n">
        <f aca="false">F13*前提条件!$E$28</f>
        <v>4344.15292866975</v>
      </c>
      <c r="R13" s="25" t="n">
        <f aca="false">N13*前提条件!$E$30</f>
        <v>32622.7353424163</v>
      </c>
      <c r="S13" s="25" t="n">
        <f aca="false">IF($A13&lt;=12,前提条件!$E$31,IF($A13&lt;=24,前提条件!$E$32,前提条件!$E$33))</f>
        <v>150000</v>
      </c>
      <c r="T13" s="25" t="n">
        <f aca="false">IF(F13&gt;=前提条件!$E$34,前提条件!$E$35,0)</f>
        <v>60000</v>
      </c>
      <c r="U13" s="25" t="n">
        <f aca="false">IF(L13&gt;=前提条件!$E$36,前提条件!$E$37,0)</f>
        <v>0</v>
      </c>
      <c r="V13" s="25" t="n">
        <f aca="false">(O13+P13+Q13+R13+S13+T13+U13)*前提条件!$E$38</f>
        <v>27296.4845339624</v>
      </c>
      <c r="W13" s="26" t="n">
        <f aca="false">O13+P13+Q13+R13+S13+T13+U13+V13</f>
        <v>300261.329873586</v>
      </c>
      <c r="X13" s="26" t="n">
        <f aca="false">N13-W13</f>
        <v>107522.861906617</v>
      </c>
      <c r="Y13" s="26" t="n">
        <f aca="false">Y12+X13</f>
        <v>-501646.55493127</v>
      </c>
    </row>
    <row r="14" customFormat="false" ht="15" hidden="false" customHeight="false" outlineLevel="0" collapsed="false">
      <c r="A14" s="21" t="n">
        <v>9</v>
      </c>
      <c r="B14" s="22" t="n">
        <f aca="false">C14/前提条件!$E$10</f>
        <v>3062.26972857143</v>
      </c>
      <c r="C14" s="22" t="n">
        <f aca="false">C13*(1+IF($A14&lt;=12,前提条件!$E$7,IF($A14&lt;=24,前提条件!$E$8,前提条件!$E$9)))</f>
        <v>1071.794405</v>
      </c>
      <c r="D14" s="22" t="n">
        <f aca="false">D13+C14</f>
        <v>6789.738455</v>
      </c>
      <c r="E14" s="23" t="n">
        <f aca="false">MAX(0,E13*(1-前提条件!$E$12)+C14*前提条件!$E$11-I14)</f>
        <v>2415.23817589877</v>
      </c>
      <c r="F14" s="23" t="n">
        <f aca="false">F13*(1-前提条件!$E$15)+I14</f>
        <v>696.565868475512</v>
      </c>
      <c r="G14" s="23" t="n">
        <f aca="false">E14+F14</f>
        <v>3111.80404437428</v>
      </c>
      <c r="H14" s="24" t="n">
        <f aca="false">前提条件!$E$13*MIN(1,$A14/前提条件!$E$14)</f>
        <v>0.08</v>
      </c>
      <c r="I14" s="23" t="n">
        <f aca="false">E13*H14</f>
        <v>169.837325874304</v>
      </c>
      <c r="J14" s="25" t="n">
        <f aca="false">F14*前提条件!$E$16</f>
        <v>487596.107932858</v>
      </c>
      <c r="K14" s="23" t="n">
        <f aca="false">IF($A14&lt;前提条件!$E$18,0,IF($A14&lt;=12,前提条件!$E$19,IF($A14&lt;=24,前提条件!$E$20,前提条件!$E$21)))</f>
        <v>1.8</v>
      </c>
      <c r="L14" s="23" t="n">
        <f aca="false">L13*(1-前提条件!$E$22)+K14</f>
        <v>10.27418572224</v>
      </c>
      <c r="M14" s="25" t="n">
        <f aca="false">L14*前提条件!$E$23</f>
        <v>32877.394311168</v>
      </c>
      <c r="N14" s="26" t="n">
        <f aca="false">J14+M14</f>
        <v>520473.502244026</v>
      </c>
      <c r="O14" s="25" t="n">
        <f aca="false">IF($A14&lt;=12,前提条件!$E$25,前提条件!$E$26)</f>
        <v>18000</v>
      </c>
      <c r="P14" s="25" t="n">
        <f aca="false">G14*前提条件!$E$27</f>
        <v>9335.41213312284</v>
      </c>
      <c r="Q14" s="25" t="n">
        <f aca="false">F14*前提条件!$E$28</f>
        <v>5572.52694780409</v>
      </c>
      <c r="R14" s="25" t="n">
        <f aca="false">N14*前提条件!$E$30</f>
        <v>41637.8801795221</v>
      </c>
      <c r="S14" s="25" t="n">
        <f aca="false">IF($A14&lt;=12,前提条件!$E$31,IF($A14&lt;=24,前提条件!$E$32,前提条件!$E$33))</f>
        <v>150000</v>
      </c>
      <c r="T14" s="25" t="n">
        <f aca="false">IF(F14&gt;=前提条件!$E$34,前提条件!$E$35,0)</f>
        <v>60000</v>
      </c>
      <c r="U14" s="25" t="n">
        <f aca="false">IF(L14&gt;=前提条件!$E$36,前提条件!$E$37,0)</f>
        <v>100000</v>
      </c>
      <c r="V14" s="25" t="n">
        <f aca="false">(O14+P14+Q14+R14+S14+T14+U14)*前提条件!$E$38</f>
        <v>38454.5819260449</v>
      </c>
      <c r="W14" s="26" t="n">
        <f aca="false">O14+P14+Q14+R14+S14+T14+U14+V14</f>
        <v>423000.401186494</v>
      </c>
      <c r="X14" s="26" t="n">
        <f aca="false">N14-W14</f>
        <v>97473.1010575321</v>
      </c>
      <c r="Y14" s="26" t="n">
        <f aca="false">Y13+X14</f>
        <v>-404173.453873737</v>
      </c>
    </row>
    <row r="15" customFormat="false" ht="15" hidden="false" customHeight="false" outlineLevel="0" collapsed="false">
      <c r="A15" s="21" t="n">
        <v>10</v>
      </c>
      <c r="B15" s="22" t="n">
        <f aca="false">C15/前提条件!$E$10</f>
        <v>3368.49670142857</v>
      </c>
      <c r="C15" s="22" t="n">
        <f aca="false">C14*(1+IF($A15&lt;=12,前提条件!$E$7,IF($A15&lt;=24,前提条件!$E$8,前提条件!$E$9)))</f>
        <v>1178.9738455</v>
      </c>
      <c r="D15" s="22" t="n">
        <f aca="false">D14+C15</f>
        <v>7968.7123005</v>
      </c>
      <c r="E15" s="23" t="n">
        <f aca="false">MAX(0,E14*(1-前提条件!$E$12)+C15*前提条件!$E$11-I15)</f>
        <v>2725.54044629794</v>
      </c>
      <c r="F15" s="23" t="n">
        <f aca="false">F14*(1-前提条件!$E$15)+I15</f>
        <v>868.887946493148</v>
      </c>
      <c r="G15" s="23" t="n">
        <f aca="false">E15+F15</f>
        <v>3594.42839279109</v>
      </c>
      <c r="H15" s="24" t="n">
        <f aca="false">前提条件!$E$13*MIN(1,$A15/前提条件!$E$14)</f>
        <v>0.08</v>
      </c>
      <c r="I15" s="23" t="n">
        <f aca="false">E14*H15</f>
        <v>193.219054071901</v>
      </c>
      <c r="J15" s="25" t="n">
        <f aca="false">F15*前提条件!$E$16</f>
        <v>608221.562545203</v>
      </c>
      <c r="K15" s="23" t="n">
        <f aca="false">IF($A15&lt;前提条件!$E$18,0,IF($A15&lt;=12,前提条件!$E$19,IF($A15&lt;=24,前提条件!$E$20,前提条件!$E$21)))</f>
        <v>1.8</v>
      </c>
      <c r="L15" s="23" t="n">
        <f aca="false">L14*(1-前提条件!$E$22)+K15</f>
        <v>11.8687020077952</v>
      </c>
      <c r="M15" s="25" t="n">
        <f aca="false">L15*前提条件!$E$23</f>
        <v>37979.8464249447</v>
      </c>
      <c r="N15" s="26" t="n">
        <f aca="false">J15+M15</f>
        <v>646201.408970148</v>
      </c>
      <c r="O15" s="25" t="n">
        <f aca="false">IF($A15&lt;=12,前提条件!$E$25,前提条件!$E$26)</f>
        <v>18000</v>
      </c>
      <c r="P15" s="25" t="n">
        <f aca="false">G15*前提条件!$E$27</f>
        <v>10783.2851783733</v>
      </c>
      <c r="Q15" s="25" t="n">
        <f aca="false">F15*前提条件!$E$28</f>
        <v>6951.10357194518</v>
      </c>
      <c r="R15" s="25" t="n">
        <f aca="false">N15*前提条件!$E$30</f>
        <v>51696.1127176118</v>
      </c>
      <c r="S15" s="25" t="n">
        <f aca="false">IF($A15&lt;=12,前提条件!$E$31,IF($A15&lt;=24,前提条件!$E$32,前提条件!$E$33))</f>
        <v>150000</v>
      </c>
      <c r="T15" s="25" t="n">
        <f aca="false">IF(F15&gt;=前提条件!$E$34,前提条件!$E$35,0)</f>
        <v>60000</v>
      </c>
      <c r="U15" s="25" t="n">
        <f aca="false">IF(L15&gt;=前提条件!$E$36,前提条件!$E$37,0)</f>
        <v>100000</v>
      </c>
      <c r="V15" s="25" t="n">
        <f aca="false">(O15+P15+Q15+R15+S15+T15+U15)*前提条件!$E$38</f>
        <v>39743.050146793</v>
      </c>
      <c r="W15" s="26" t="n">
        <f aca="false">O15+P15+Q15+R15+S15+T15+U15+V15</f>
        <v>437173.551614723</v>
      </c>
      <c r="X15" s="26" t="n">
        <f aca="false">N15-W15</f>
        <v>209027.857355425</v>
      </c>
      <c r="Y15" s="26" t="n">
        <f aca="false">Y14+X15</f>
        <v>-195145.596518313</v>
      </c>
    </row>
    <row r="16" customFormat="false" ht="15" hidden="false" customHeight="false" outlineLevel="0" collapsed="false">
      <c r="A16" s="21" t="n">
        <v>11</v>
      </c>
      <c r="B16" s="22" t="n">
        <f aca="false">C16/前提条件!$E$10</f>
        <v>3705.34637157143</v>
      </c>
      <c r="C16" s="22" t="n">
        <f aca="false">C15*(1+IF($A16&lt;=12,前提条件!$E$7,IF($A16&lt;=24,前提条件!$E$8,前提条件!$E$9)))</f>
        <v>1296.87123005</v>
      </c>
      <c r="D16" s="22" t="n">
        <f aca="false">D15+C16</f>
        <v>9265.58353055</v>
      </c>
      <c r="E16" s="23" t="n">
        <f aca="false">MAX(0,E15*(1-前提条件!$E$12)+C16*前提条件!$E$11-I16)</f>
        <v>3057.24396034373</v>
      </c>
      <c r="F16" s="23" t="n">
        <f aca="false">F15*(1-前提条件!$E$15)+I16</f>
        <v>1060.86454380219</v>
      </c>
      <c r="G16" s="23" t="n">
        <f aca="false">E16+F16</f>
        <v>4118.10850414592</v>
      </c>
      <c r="H16" s="24" t="n">
        <f aca="false">前提条件!$E$13*MIN(1,$A16/前提条件!$E$14)</f>
        <v>0.08</v>
      </c>
      <c r="I16" s="23" t="n">
        <f aca="false">E15*H16</f>
        <v>218.043235703835</v>
      </c>
      <c r="J16" s="25" t="n">
        <f aca="false">F16*前提条件!$E$16</f>
        <v>742605.180661532</v>
      </c>
      <c r="K16" s="23" t="n">
        <f aca="false">IF($A16&lt;前提条件!$E$18,0,IF($A16&lt;=12,前提条件!$E$19,IF($A16&lt;=24,前提条件!$E$20,前提条件!$E$21)))</f>
        <v>1.8</v>
      </c>
      <c r="L16" s="23" t="n">
        <f aca="false">L15*(1-前提条件!$E$22)+K16</f>
        <v>13.4313279676393</v>
      </c>
      <c r="M16" s="25" t="n">
        <f aca="false">L16*前提条件!$E$23</f>
        <v>42980.2494964458</v>
      </c>
      <c r="N16" s="26" t="n">
        <f aca="false">J16+M16</f>
        <v>785585.430157978</v>
      </c>
      <c r="O16" s="25" t="n">
        <f aca="false">IF($A16&lt;=12,前提条件!$E$25,前提条件!$E$26)</f>
        <v>18000</v>
      </c>
      <c r="P16" s="25" t="n">
        <f aca="false">G16*前提条件!$E$27</f>
        <v>12354.3255124378</v>
      </c>
      <c r="Q16" s="25" t="n">
        <f aca="false">F16*前提条件!$E$28</f>
        <v>8486.91635041751</v>
      </c>
      <c r="R16" s="25" t="n">
        <f aca="false">N16*前提条件!$E$30</f>
        <v>62846.8344126382</v>
      </c>
      <c r="S16" s="25" t="n">
        <f aca="false">IF($A16&lt;=12,前提条件!$E$31,IF($A16&lt;=24,前提条件!$E$32,前提条件!$E$33))</f>
        <v>150000</v>
      </c>
      <c r="T16" s="25" t="n">
        <f aca="false">IF(F16&gt;=前提条件!$E$34,前提条件!$E$35,0)</f>
        <v>60000</v>
      </c>
      <c r="U16" s="25" t="n">
        <f aca="false">IF(L16&gt;=前提条件!$E$36,前提条件!$E$37,0)</f>
        <v>100000</v>
      </c>
      <c r="V16" s="25" t="n">
        <f aca="false">(O16+P16+Q16+R16+S16+T16+U16)*前提条件!$E$38</f>
        <v>41168.8076275494</v>
      </c>
      <c r="W16" s="26" t="n">
        <f aca="false">O16+P16+Q16+R16+S16+T16+U16+V16</f>
        <v>452856.883903043</v>
      </c>
      <c r="X16" s="26" t="n">
        <f aca="false">N16-W16</f>
        <v>332728.546254935</v>
      </c>
      <c r="Y16" s="26" t="n">
        <f aca="false">Y15+X16</f>
        <v>137582.949736622</v>
      </c>
    </row>
    <row r="17" customFormat="false" ht="15" hidden="false" customHeight="false" outlineLevel="0" collapsed="false">
      <c r="A17" s="27" t="n">
        <v>12</v>
      </c>
      <c r="B17" s="28" t="n">
        <f aca="false">C17/前提条件!$E$10</f>
        <v>4075.88100872857</v>
      </c>
      <c r="C17" s="28" t="n">
        <f aca="false">C16*(1+IF($A17&lt;=12,前提条件!$E$7,IF($A17&lt;=24,前提条件!$E$8,前提条件!$E$9)))</f>
        <v>1426.558353055</v>
      </c>
      <c r="D17" s="28" t="n">
        <f aca="false">D16+C17</f>
        <v>10692.141883605</v>
      </c>
      <c r="E17" s="29" t="n">
        <f aca="false">MAX(0,E16*(1-前提条件!$E$12)+C17*前提条件!$E$11-I17)</f>
        <v>3413.83690007586</v>
      </c>
      <c r="F17" s="29" t="n">
        <f aca="false">F16*(1-前提条件!$E$15)+I17</f>
        <v>1273.61812431562</v>
      </c>
      <c r="G17" s="29" t="n">
        <f aca="false">E17+F17</f>
        <v>4687.45502439148</v>
      </c>
      <c r="H17" s="30" t="n">
        <f aca="false">前提条件!$E$13*MIN(1,$A17/前提条件!$E$14)</f>
        <v>0.08</v>
      </c>
      <c r="I17" s="29" t="n">
        <f aca="false">E16*H17</f>
        <v>244.579516827498</v>
      </c>
      <c r="J17" s="31" t="n">
        <f aca="false">F17*前提条件!$E$16</f>
        <v>891532.687020935</v>
      </c>
      <c r="K17" s="29" t="n">
        <f aca="false">IF($A17&lt;前提条件!$E$18,0,IF($A17&lt;=12,前提条件!$E$19,IF($A17&lt;=24,前提条件!$E$20,前提条件!$E$21)))</f>
        <v>1.8</v>
      </c>
      <c r="L17" s="29" t="n">
        <f aca="false">L16*(1-前提条件!$E$22)+K17</f>
        <v>14.9627014082865</v>
      </c>
      <c r="M17" s="31" t="n">
        <f aca="false">L17*前提条件!$E$23</f>
        <v>47880.6445065168</v>
      </c>
      <c r="N17" s="32" t="n">
        <f aca="false">J17+M17</f>
        <v>939413.331527452</v>
      </c>
      <c r="O17" s="31" t="n">
        <f aca="false">IF($A17&lt;=12,前提条件!$E$25,前提条件!$E$26)</f>
        <v>18000</v>
      </c>
      <c r="P17" s="31" t="n">
        <f aca="false">G17*前提条件!$E$27</f>
        <v>14062.3650731744</v>
      </c>
      <c r="Q17" s="31" t="n">
        <f aca="false">F17*前提条件!$E$28</f>
        <v>10188.944994525</v>
      </c>
      <c r="R17" s="31" t="n">
        <f aca="false">N17*前提条件!$E$30</f>
        <v>75153.0665221961</v>
      </c>
      <c r="S17" s="31" t="n">
        <f aca="false">IF($A17&lt;=12,前提条件!$E$31,IF($A17&lt;=24,前提条件!$E$32,前提条件!$E$33))</f>
        <v>150000</v>
      </c>
      <c r="T17" s="31" t="n">
        <f aca="false">IF(F17&gt;=前提条件!$E$34,前提条件!$E$35,0)</f>
        <v>60000</v>
      </c>
      <c r="U17" s="31" t="n">
        <f aca="false">IF(L17&gt;=前提条件!$E$36,前提条件!$E$37,0)</f>
        <v>100000</v>
      </c>
      <c r="V17" s="31" t="n">
        <f aca="false">(O17+P17+Q17+R17+S17+T17+U17)*前提条件!$E$38</f>
        <v>42740.4376589896</v>
      </c>
      <c r="W17" s="32" t="n">
        <f aca="false">O17+P17+Q17+R17+S17+T17+U17+V17</f>
        <v>470144.814248885</v>
      </c>
      <c r="X17" s="32" t="n">
        <f aca="false">N17-W17</f>
        <v>469268.517278566</v>
      </c>
      <c r="Y17" s="32" t="n">
        <f aca="false">Y16+X17</f>
        <v>606851.467015189</v>
      </c>
    </row>
    <row r="18" customFormat="false" ht="15" hidden="false" customHeight="false" outlineLevel="0" collapsed="false">
      <c r="A18" s="21" t="n">
        <v>13</v>
      </c>
      <c r="B18" s="22" t="n">
        <f aca="false">C18/前提条件!$E$10</f>
        <v>4279.675059165</v>
      </c>
      <c r="C18" s="22" t="n">
        <f aca="false">C17*(1+IF($A18&lt;=12,前提条件!$E$7,IF($A18&lt;=24,前提条件!$E$8,前提条件!$E$9)))</f>
        <v>1497.88627070775</v>
      </c>
      <c r="D18" s="22" t="n">
        <f aca="false">D17+C18</f>
        <v>12190.0281543128</v>
      </c>
      <c r="E18" s="23" t="n">
        <f aca="false">MAX(0,E17*(1-前提条件!$E$12)+C18*前提条件!$E$11-I18)</f>
        <v>3759.7371829545</v>
      </c>
      <c r="F18" s="23" t="n">
        <f aca="false">F17*(1-前提条件!$E$15)+I18</f>
        <v>1508.51653259222</v>
      </c>
      <c r="G18" s="23" t="n">
        <f aca="false">E18+F18</f>
        <v>5268.25371554672</v>
      </c>
      <c r="H18" s="24" t="n">
        <f aca="false">前提条件!$E$13*MIN(1,$A18/前提条件!$E$14)</f>
        <v>0.08</v>
      </c>
      <c r="I18" s="23" t="n">
        <f aca="false">E17*H18</f>
        <v>273.106952006069</v>
      </c>
      <c r="J18" s="25" t="n">
        <f aca="false">F18*前提条件!$E$16</f>
        <v>1055961.57281455</v>
      </c>
      <c r="K18" s="23" t="n">
        <f aca="false">IF($A18&lt;前提条件!$E$18,0,IF($A18&lt;=12,前提条件!$E$19,IF($A18&lt;=24,前提条件!$E$20,前提条件!$E$21)))</f>
        <v>2.8</v>
      </c>
      <c r="L18" s="23" t="n">
        <f aca="false">L17*(1-前提条件!$E$22)+K18</f>
        <v>17.4634473801208</v>
      </c>
      <c r="M18" s="25" t="n">
        <f aca="false">L18*前提条件!$E$23</f>
        <v>55883.0316163865</v>
      </c>
      <c r="N18" s="26" t="n">
        <f aca="false">J18+M18</f>
        <v>1111844.60443094</v>
      </c>
      <c r="O18" s="25" t="n">
        <f aca="false">IF($A18&lt;=12,前提条件!$E$25,前提条件!$E$26)</f>
        <v>40000</v>
      </c>
      <c r="P18" s="25" t="n">
        <f aca="false">G18*前提条件!$E$27</f>
        <v>15804.7611466402</v>
      </c>
      <c r="Q18" s="25" t="n">
        <f aca="false">F18*前提条件!$E$28</f>
        <v>12068.1322607378</v>
      </c>
      <c r="R18" s="25" t="n">
        <f aca="false">N18*前提条件!$E$30</f>
        <v>88947.5683544753</v>
      </c>
      <c r="S18" s="25" t="n">
        <f aca="false">IF($A18&lt;=12,前提条件!$E$31,IF($A18&lt;=24,前提条件!$E$32,前提条件!$E$33))</f>
        <v>200000</v>
      </c>
      <c r="T18" s="25" t="n">
        <f aca="false">IF(F18&gt;=前提条件!$E$34,前提条件!$E$35,0)</f>
        <v>60000</v>
      </c>
      <c r="U18" s="25" t="n">
        <f aca="false">IF(L18&gt;=前提条件!$E$36,前提条件!$E$37,0)</f>
        <v>100000</v>
      </c>
      <c r="V18" s="25" t="n">
        <f aca="false">(O18+P18+Q18+R18+S18+T18+U18)*前提条件!$E$38</f>
        <v>51682.0461761853</v>
      </c>
      <c r="W18" s="26" t="n">
        <f aca="false">O18+P18+Q18+R18+S18+T18+U18+V18</f>
        <v>568502.507938039</v>
      </c>
      <c r="X18" s="26" t="n">
        <f aca="false">N18-W18</f>
        <v>543342.096492903</v>
      </c>
      <c r="Y18" s="26" t="n">
        <f aca="false">Y17+X18</f>
        <v>1150193.56350809</v>
      </c>
    </row>
    <row r="19" customFormat="false" ht="15" hidden="false" customHeight="false" outlineLevel="0" collapsed="false">
      <c r="A19" s="21" t="n">
        <v>14</v>
      </c>
      <c r="B19" s="22" t="n">
        <f aca="false">C19/前提条件!$E$10</f>
        <v>4493.65881212325</v>
      </c>
      <c r="C19" s="22" t="n">
        <f aca="false">C18*(1+IF($A19&lt;=12,前提条件!$E$7,IF($A19&lt;=24,前提条件!$E$8,前提条件!$E$9)))</f>
        <v>1572.78058424314</v>
      </c>
      <c r="D19" s="22" t="n">
        <f aca="false">D18+C19</f>
        <v>13762.8087385559</v>
      </c>
      <c r="E19" s="23" t="n">
        <f aca="false">MAX(0,E18*(1-前提条件!$E$12)+C19*前提条件!$E$11-I19)</f>
        <v>4098.4032986746</v>
      </c>
      <c r="F19" s="23" t="n">
        <f aca="false">F18*(1-前提条件!$E$15)+I19</f>
        <v>1764.04001125081</v>
      </c>
      <c r="G19" s="23" t="n">
        <f aca="false">E19+F19</f>
        <v>5862.44330992541</v>
      </c>
      <c r="H19" s="24" t="n">
        <f aca="false">前提条件!$E$13*MIN(1,$A19/前提条件!$E$14)</f>
        <v>0.08</v>
      </c>
      <c r="I19" s="23" t="n">
        <f aca="false">E18*H19</f>
        <v>300.77897463636</v>
      </c>
      <c r="J19" s="25" t="n">
        <f aca="false">F19*前提条件!$E$16</f>
        <v>1234828.00787557</v>
      </c>
      <c r="K19" s="23" t="n">
        <f aca="false">IF($A19&lt;前提条件!$E$18,0,IF($A19&lt;=12,前提条件!$E$19,IF($A19&lt;=24,前提条件!$E$20,前提条件!$E$21)))</f>
        <v>2.8</v>
      </c>
      <c r="L19" s="23" t="n">
        <f aca="false">L18*(1-前提条件!$E$22)+K19</f>
        <v>19.9141784325184</v>
      </c>
      <c r="M19" s="25" t="n">
        <f aca="false">L19*前提条件!$E$23</f>
        <v>63725.3709840588</v>
      </c>
      <c r="N19" s="26" t="n">
        <f aca="false">J19+M19</f>
        <v>1298553.37885963</v>
      </c>
      <c r="O19" s="25" t="n">
        <f aca="false">IF($A19&lt;=12,前提条件!$E$25,前提条件!$E$26)</f>
        <v>40000</v>
      </c>
      <c r="P19" s="25" t="n">
        <f aca="false">G19*前提条件!$E$27</f>
        <v>17587.3299297762</v>
      </c>
      <c r="Q19" s="25" t="n">
        <f aca="false">F19*前提条件!$E$28</f>
        <v>14112.3200900065</v>
      </c>
      <c r="R19" s="25" t="n">
        <f aca="false">N19*前提条件!$E$30</f>
        <v>103884.27030877</v>
      </c>
      <c r="S19" s="25" t="n">
        <f aca="false">IF($A19&lt;=12,前提条件!$E$31,IF($A19&lt;=24,前提条件!$E$32,前提条件!$E$33))</f>
        <v>200000</v>
      </c>
      <c r="T19" s="25" t="n">
        <f aca="false">IF(F19&gt;=前提条件!$E$34,前提条件!$E$35,0)</f>
        <v>60000</v>
      </c>
      <c r="U19" s="25" t="n">
        <f aca="false">IF(L19&gt;=前提条件!$E$36,前提条件!$E$37,0)</f>
        <v>100000</v>
      </c>
      <c r="V19" s="25" t="n">
        <f aca="false">(O19+P19+Q19+R19+S19+T19+U19)*前提条件!$E$38</f>
        <v>53558.3920328553</v>
      </c>
      <c r="W19" s="26" t="n">
        <f aca="false">O19+P19+Q19+R19+S19+T19+U19+V19</f>
        <v>589142.312361408</v>
      </c>
      <c r="X19" s="26" t="n">
        <f aca="false">N19-W19</f>
        <v>709411.066498221</v>
      </c>
      <c r="Y19" s="26" t="n">
        <f aca="false">Y18+X19</f>
        <v>1859604.63000631</v>
      </c>
    </row>
    <row r="20" customFormat="false" ht="15" hidden="false" customHeight="false" outlineLevel="0" collapsed="false">
      <c r="A20" s="21" t="n">
        <v>15</v>
      </c>
      <c r="B20" s="22" t="n">
        <f aca="false">C20/前提条件!$E$10</f>
        <v>4718.34175272942</v>
      </c>
      <c r="C20" s="22" t="n">
        <f aca="false">C19*(1+IF($A20&lt;=12,前提条件!$E$7,IF($A20&lt;=24,前提条件!$E$8,前提条件!$E$9)))</f>
        <v>1651.4196134553</v>
      </c>
      <c r="D20" s="22" t="n">
        <f aca="false">D19+C20</f>
        <v>15414.2283520112</v>
      </c>
      <c r="E20" s="23" t="n">
        <f aca="false">MAX(0,E19*(1-前提条件!$E$12)+C20*前提条件!$E$11-I20)</f>
        <v>4432.90762426057</v>
      </c>
      <c r="F20" s="23" t="n">
        <f aca="false">F19*(1-前提条件!$E$15)+I20</f>
        <v>2038.99107480726</v>
      </c>
      <c r="G20" s="23" t="n">
        <f aca="false">E20+F20</f>
        <v>6471.89869906782</v>
      </c>
      <c r="H20" s="24" t="n">
        <f aca="false">前提条件!$E$13*MIN(1,$A20/前提条件!$E$14)</f>
        <v>0.08</v>
      </c>
      <c r="I20" s="23" t="n">
        <f aca="false">E19*H20</f>
        <v>327.872263893968</v>
      </c>
      <c r="J20" s="25" t="n">
        <f aca="false">F20*前提条件!$E$16</f>
        <v>1427293.75236508</v>
      </c>
      <c r="K20" s="23" t="n">
        <f aca="false">IF($A20&lt;前提条件!$E$18,0,IF($A20&lt;=12,前提条件!$E$19,IF($A20&lt;=24,前提条件!$E$20,前提条件!$E$21)))</f>
        <v>2.8</v>
      </c>
      <c r="L20" s="23" t="n">
        <f aca="false">L19*(1-前提条件!$E$22)+K20</f>
        <v>22.315894863868</v>
      </c>
      <c r="M20" s="25" t="n">
        <f aca="false">L20*前提条件!$E$23</f>
        <v>71410.8635643776</v>
      </c>
      <c r="N20" s="26" t="n">
        <f aca="false">J20+M20</f>
        <v>1498704.61592946</v>
      </c>
      <c r="O20" s="25" t="n">
        <f aca="false">IF($A20&lt;=12,前提条件!$E$25,前提条件!$E$26)</f>
        <v>40000</v>
      </c>
      <c r="P20" s="25" t="n">
        <f aca="false">G20*前提条件!$E$27</f>
        <v>19415.6960972035</v>
      </c>
      <c r="Q20" s="25" t="n">
        <f aca="false">F20*前提条件!$E$28</f>
        <v>16311.9285984581</v>
      </c>
      <c r="R20" s="25" t="n">
        <f aca="false">N20*前提条件!$E$30</f>
        <v>119896.369274357</v>
      </c>
      <c r="S20" s="25" t="n">
        <f aca="false">IF($A20&lt;=12,前提条件!$E$31,IF($A20&lt;=24,前提条件!$E$32,前提条件!$E$33))</f>
        <v>200000</v>
      </c>
      <c r="T20" s="25" t="n">
        <f aca="false">IF(F20&gt;=前提条件!$E$34,前提条件!$E$35,0)</f>
        <v>60000</v>
      </c>
      <c r="U20" s="25" t="n">
        <f aca="false">IF(L20&gt;=前提条件!$E$36,前提条件!$E$37,0)</f>
        <v>100000</v>
      </c>
      <c r="V20" s="25" t="n">
        <f aca="false">(O20+P20+Q20+R20+S20+T20+U20)*前提条件!$E$38</f>
        <v>55562.3993970018</v>
      </c>
      <c r="W20" s="26" t="n">
        <f aca="false">O20+P20+Q20+R20+S20+T20+U20+V20</f>
        <v>611186.39336702</v>
      </c>
      <c r="X20" s="26" t="n">
        <f aca="false">N20-W20</f>
        <v>887518.222562438</v>
      </c>
      <c r="Y20" s="26" t="n">
        <f aca="false">Y19+X20</f>
        <v>2747122.85256875</v>
      </c>
    </row>
    <row r="21" customFormat="false" ht="15" hidden="false" customHeight="false" outlineLevel="0" collapsed="false">
      <c r="A21" s="21" t="n">
        <v>16</v>
      </c>
      <c r="B21" s="22" t="n">
        <f aca="false">C21/前提条件!$E$10</f>
        <v>4954.25884036589</v>
      </c>
      <c r="C21" s="22" t="n">
        <f aca="false">C20*(1+IF($A21&lt;=12,前提条件!$E$7,IF($A21&lt;=24,前提条件!$E$8,前提条件!$E$9)))</f>
        <v>1733.99059412806</v>
      </c>
      <c r="D21" s="22" t="n">
        <f aca="false">D20+C21</f>
        <v>17148.2189461392</v>
      </c>
      <c r="E21" s="23" t="n">
        <f aca="false">MAX(0,E20*(1-前提条件!$E$12)+C21*前提条件!$E$11-I21)</f>
        <v>4765.99538363452</v>
      </c>
      <c r="F21" s="23" t="n">
        <f aca="false">F20*(1-前提条件!$E$15)+I21</f>
        <v>2332.45395250389</v>
      </c>
      <c r="G21" s="23" t="n">
        <f aca="false">E21+F21</f>
        <v>7098.4493361384</v>
      </c>
      <c r="H21" s="24" t="n">
        <f aca="false">前提条件!$E$13*MIN(1,$A21/前提条件!$E$14)</f>
        <v>0.08</v>
      </c>
      <c r="I21" s="23" t="n">
        <f aca="false">E20*H21</f>
        <v>354.632609940845</v>
      </c>
      <c r="J21" s="25" t="n">
        <f aca="false">F21*前提条件!$E$16</f>
        <v>1632717.76675272</v>
      </c>
      <c r="K21" s="23" t="n">
        <f aca="false">IF($A21&lt;前提条件!$E$18,0,IF($A21&lt;=12,前提条件!$E$19,IF($A21&lt;=24,前提条件!$E$20,前提条件!$E$21)))</f>
        <v>2.8</v>
      </c>
      <c r="L21" s="23" t="n">
        <f aca="false">L20*(1-前提条件!$E$22)+K21</f>
        <v>24.6695769665906</v>
      </c>
      <c r="M21" s="25" t="n">
        <f aca="false">L21*前提条件!$E$23</f>
        <v>78942.6462930901</v>
      </c>
      <c r="N21" s="26" t="n">
        <f aca="false">J21+M21</f>
        <v>1711660.41304581</v>
      </c>
      <c r="O21" s="25" t="n">
        <f aca="false">IF($A21&lt;=12,前提条件!$E$25,前提条件!$E$26)</f>
        <v>40000</v>
      </c>
      <c r="P21" s="25" t="n">
        <f aca="false">G21*前提条件!$E$27</f>
        <v>21295.3480084152</v>
      </c>
      <c r="Q21" s="25" t="n">
        <f aca="false">F21*前提条件!$E$28</f>
        <v>18659.6316200311</v>
      </c>
      <c r="R21" s="25" t="n">
        <f aca="false">N21*前提条件!$E$30</f>
        <v>136932.833043665</v>
      </c>
      <c r="S21" s="25" t="n">
        <f aca="false">IF($A21&lt;=12,前提条件!$E$31,IF($A21&lt;=24,前提条件!$E$32,前提条件!$E$33))</f>
        <v>200000</v>
      </c>
      <c r="T21" s="25" t="n">
        <f aca="false">IF(F21&gt;=前提条件!$E$34,前提条件!$E$35,0)</f>
        <v>60000</v>
      </c>
      <c r="U21" s="25" t="n">
        <f aca="false">IF(L21&gt;=前提条件!$E$36,前提条件!$E$37,0)</f>
        <v>100000</v>
      </c>
      <c r="V21" s="25" t="n">
        <f aca="false">(O21+P21+Q21+R21+S21+T21+U21)*前提条件!$E$38</f>
        <v>57688.7812672111</v>
      </c>
      <c r="W21" s="26" t="n">
        <f aca="false">O21+P21+Q21+R21+S21+T21+U21+V21</f>
        <v>634576.593939322</v>
      </c>
      <c r="X21" s="26" t="n">
        <f aca="false">N21-W21</f>
        <v>1077083.81910649</v>
      </c>
      <c r="Y21" s="26" t="n">
        <f aca="false">Y20+X21</f>
        <v>3824206.67167524</v>
      </c>
    </row>
    <row r="22" customFormat="false" ht="15" hidden="false" customHeight="false" outlineLevel="0" collapsed="false">
      <c r="A22" s="21" t="n">
        <v>17</v>
      </c>
      <c r="B22" s="22" t="n">
        <f aca="false">C22/前提条件!$E$10</f>
        <v>5201.97178238418</v>
      </c>
      <c r="C22" s="22" t="n">
        <f aca="false">C21*(1+IF($A22&lt;=12,前提条件!$E$7,IF($A22&lt;=24,前提条件!$E$8,前提条件!$E$9)))</f>
        <v>1820.69012383446</v>
      </c>
      <c r="D22" s="22" t="n">
        <f aca="false">D21+C22</f>
        <v>18968.9090699737</v>
      </c>
      <c r="E22" s="23" t="n">
        <f aca="false">MAX(0,E21*(1-前提条件!$E$12)+C22*前提条件!$E$11-I22)</f>
        <v>5100.13559803464</v>
      </c>
      <c r="F22" s="23" t="n">
        <f aca="false">F21*(1-前提条件!$E$15)+I22</f>
        <v>2643.75996461953</v>
      </c>
      <c r="G22" s="23" t="n">
        <f aca="false">E22+F22</f>
        <v>7743.89556265417</v>
      </c>
      <c r="H22" s="24" t="n">
        <f aca="false">前提条件!$E$13*MIN(1,$A22/前提条件!$E$14)</f>
        <v>0.08</v>
      </c>
      <c r="I22" s="23" t="n">
        <f aca="false">E21*H22</f>
        <v>381.279630690762</v>
      </c>
      <c r="J22" s="25" t="n">
        <f aca="false">F22*前提条件!$E$16</f>
        <v>1850631.97523367</v>
      </c>
      <c r="K22" s="23" t="n">
        <f aca="false">IF($A22&lt;前提条件!$E$18,0,IF($A22&lt;=12,前提条件!$E$19,IF($A22&lt;=24,前提条件!$E$20,前提条件!$E$21)))</f>
        <v>2.8</v>
      </c>
      <c r="L22" s="23" t="n">
        <f aca="false">L21*(1-前提条件!$E$22)+K22</f>
        <v>26.9761854272588</v>
      </c>
      <c r="M22" s="25" t="n">
        <f aca="false">L22*前提条件!$E$23</f>
        <v>86323.7933672283</v>
      </c>
      <c r="N22" s="26" t="n">
        <f aca="false">J22+M22</f>
        <v>1936955.7686009</v>
      </c>
      <c r="O22" s="25" t="n">
        <f aca="false">IF($A22&lt;=12,前提条件!$E$25,前提条件!$E$26)</f>
        <v>40000</v>
      </c>
      <c r="P22" s="25" t="n">
        <f aca="false">G22*前提条件!$E$27</f>
        <v>23231.6866879625</v>
      </c>
      <c r="Q22" s="25" t="n">
        <f aca="false">F22*前提条件!$E$28</f>
        <v>21150.0797169562</v>
      </c>
      <c r="R22" s="25" t="n">
        <f aca="false">N22*前提条件!$E$30</f>
        <v>154956.461488072</v>
      </c>
      <c r="S22" s="25" t="n">
        <f aca="false">IF($A22&lt;=12,前提条件!$E$31,IF($A22&lt;=24,前提条件!$E$32,前提条件!$E$33))</f>
        <v>200000</v>
      </c>
      <c r="T22" s="25" t="n">
        <f aca="false">IF(F22&gt;=前提条件!$E$34,前提条件!$E$35,0)</f>
        <v>60000</v>
      </c>
      <c r="U22" s="25" t="n">
        <f aca="false">IF(L22&gt;=前提条件!$E$36,前提条件!$E$37,0)</f>
        <v>100000</v>
      </c>
      <c r="V22" s="25" t="n">
        <f aca="false">(O22+P22+Q22+R22+S22+T22+U22)*前提条件!$E$38</f>
        <v>59933.8227892991</v>
      </c>
      <c r="W22" s="26" t="n">
        <f aca="false">O22+P22+Q22+R22+S22+T22+U22+V22</f>
        <v>659272.05068229</v>
      </c>
      <c r="X22" s="26" t="n">
        <f aca="false">N22-W22</f>
        <v>1277683.71791861</v>
      </c>
      <c r="Y22" s="26" t="n">
        <f aca="false">Y21+X22</f>
        <v>5101890.38959385</v>
      </c>
    </row>
    <row r="23" customFormat="false" ht="15" hidden="false" customHeight="false" outlineLevel="0" collapsed="false">
      <c r="A23" s="21" t="n">
        <v>18</v>
      </c>
      <c r="B23" s="22" t="n">
        <f aca="false">C23/前提条件!$E$10</f>
        <v>5462.07037150339</v>
      </c>
      <c r="C23" s="22" t="n">
        <f aca="false">C22*(1+IF($A23&lt;=12,前提条件!$E$7,IF($A23&lt;=24,前提条件!$E$8,前提条件!$E$9)))</f>
        <v>1911.72463002619</v>
      </c>
      <c r="D23" s="22" t="n">
        <f aca="false">D22+C23</f>
        <v>20880.6336999999</v>
      </c>
      <c r="E23" s="23" t="n">
        <f aca="false">MAX(0,E22*(1-前提条件!$E$12)+C23*前提条件!$E$11-I23)</f>
        <v>5437.56516082419</v>
      </c>
      <c r="F23" s="23" t="n">
        <f aca="false">F22*(1-前提条件!$E$15)+I23</f>
        <v>2972.45801352372</v>
      </c>
      <c r="G23" s="23" t="n">
        <f aca="false">E23+F23</f>
        <v>8410.02317434791</v>
      </c>
      <c r="H23" s="24" t="n">
        <f aca="false">前提条件!$E$13*MIN(1,$A23/前提条件!$E$14)</f>
        <v>0.08</v>
      </c>
      <c r="I23" s="23" t="n">
        <f aca="false">E22*H23</f>
        <v>408.010847842771</v>
      </c>
      <c r="J23" s="25" t="n">
        <f aca="false">F23*前提条件!$E$16</f>
        <v>2080720.6094666</v>
      </c>
      <c r="K23" s="23" t="n">
        <f aca="false">IF($A23&lt;前提条件!$E$18,0,IF($A23&lt;=12,前提条件!$E$19,IF($A23&lt;=24,前提条件!$E$20,前提条件!$E$21)))</f>
        <v>2.8</v>
      </c>
      <c r="L23" s="23" t="n">
        <f aca="false">L22*(1-前提条件!$E$22)+K23</f>
        <v>29.2366617187137</v>
      </c>
      <c r="M23" s="25" t="n">
        <f aca="false">L23*前提条件!$E$23</f>
        <v>93557.3174998837</v>
      </c>
      <c r="N23" s="26" t="n">
        <f aca="false">J23+M23</f>
        <v>2174277.92696648</v>
      </c>
      <c r="O23" s="25" t="n">
        <f aca="false">IF($A23&lt;=12,前提条件!$E$25,前提条件!$E$26)</f>
        <v>40000</v>
      </c>
      <c r="P23" s="25" t="n">
        <f aca="false">G23*前提条件!$E$27</f>
        <v>25230.0695230437</v>
      </c>
      <c r="Q23" s="25" t="n">
        <f aca="false">F23*前提条件!$E$28</f>
        <v>23779.6641081897</v>
      </c>
      <c r="R23" s="25" t="n">
        <f aca="false">N23*前提条件!$E$30</f>
        <v>173942.234157319</v>
      </c>
      <c r="S23" s="25" t="n">
        <f aca="false">IF($A23&lt;=12,前提条件!$E$31,IF($A23&lt;=24,前提条件!$E$32,前提条件!$E$33))</f>
        <v>200000</v>
      </c>
      <c r="T23" s="25" t="n">
        <f aca="false">IF(F23&gt;=前提条件!$E$34,前提条件!$E$35,0)</f>
        <v>60000</v>
      </c>
      <c r="U23" s="25" t="n">
        <f aca="false">IF(L23&gt;=前提条件!$E$36,前提条件!$E$37,0)</f>
        <v>100000</v>
      </c>
      <c r="V23" s="25" t="n">
        <f aca="false">(O23+P23+Q23+R23+S23+T23+U23)*前提条件!$E$38</f>
        <v>62295.1967788552</v>
      </c>
      <c r="W23" s="26" t="n">
        <f aca="false">O23+P23+Q23+R23+S23+T23+U23+V23</f>
        <v>685247.164567407</v>
      </c>
      <c r="X23" s="26" t="n">
        <f aca="false">N23-W23</f>
        <v>1489030.76239908</v>
      </c>
      <c r="Y23" s="26" t="n">
        <f aca="false">Y22+X23</f>
        <v>6590921.15199292</v>
      </c>
    </row>
    <row r="24" customFormat="false" ht="15" hidden="false" customHeight="false" outlineLevel="0" collapsed="false">
      <c r="A24" s="21" t="n">
        <v>19</v>
      </c>
      <c r="B24" s="22" t="n">
        <f aca="false">C24/前提条件!$E$10</f>
        <v>5735.17389007856</v>
      </c>
      <c r="C24" s="22" t="n">
        <f aca="false">C23*(1+IF($A24&lt;=12,前提条件!$E$7,IF($A24&lt;=24,前提条件!$E$8,前提条件!$E$9)))</f>
        <v>2007.3108615275</v>
      </c>
      <c r="D24" s="22" t="n">
        <f aca="false">D23+C24</f>
        <v>22887.9445615274</v>
      </c>
      <c r="E24" s="23" t="n">
        <f aca="false">MAX(0,E23*(1-前提条件!$E$12)+C24*前提条件!$E$11-I24)</f>
        <v>5780.32701214893</v>
      </c>
      <c r="F24" s="23" t="n">
        <f aca="false">F23*(1-前提条件!$E$15)+I24</f>
        <v>3318.28948598394</v>
      </c>
      <c r="G24" s="23" t="n">
        <f aca="false">E24+F24</f>
        <v>9098.61649813287</v>
      </c>
      <c r="H24" s="24" t="n">
        <f aca="false">前提条件!$E$13*MIN(1,$A24/前提条件!$E$14)</f>
        <v>0.08</v>
      </c>
      <c r="I24" s="23" t="n">
        <f aca="false">E23*H24</f>
        <v>435.005212865935</v>
      </c>
      <c r="J24" s="25" t="n">
        <f aca="false">F24*前提条件!$E$16</f>
        <v>2322802.64018876</v>
      </c>
      <c r="K24" s="23" t="n">
        <f aca="false">IF($A24&lt;前提条件!$E$18,0,IF($A24&lt;=12,前提条件!$E$19,IF($A24&lt;=24,前提条件!$E$20,前提条件!$E$21)))</f>
        <v>2.8</v>
      </c>
      <c r="L24" s="23" t="n">
        <f aca="false">L23*(1-前提条件!$E$22)+K24</f>
        <v>31.4519284843394</v>
      </c>
      <c r="M24" s="25" t="n">
        <f aca="false">L24*前提条件!$E$23</f>
        <v>100646.171149886</v>
      </c>
      <c r="N24" s="26" t="n">
        <f aca="false">J24+M24</f>
        <v>2423448.81133864</v>
      </c>
      <c r="O24" s="25" t="n">
        <f aca="false">IF($A24&lt;=12,前提条件!$E$25,前提条件!$E$26)</f>
        <v>40000</v>
      </c>
      <c r="P24" s="25" t="n">
        <f aca="false">G24*前提条件!$E$27</f>
        <v>27295.8494943986</v>
      </c>
      <c r="Q24" s="25" t="n">
        <f aca="false">F24*前提条件!$E$28</f>
        <v>26546.3158878715</v>
      </c>
      <c r="R24" s="25" t="n">
        <f aca="false">N24*前提条件!$E$30</f>
        <v>193875.904907092</v>
      </c>
      <c r="S24" s="25" t="n">
        <f aca="false">IF($A24&lt;=12,前提条件!$E$31,IF($A24&lt;=24,前提条件!$E$32,前提条件!$E$33))</f>
        <v>200000</v>
      </c>
      <c r="T24" s="25" t="n">
        <f aca="false">IF(F24&gt;=前提条件!$E$34,前提条件!$E$35,0)</f>
        <v>60000</v>
      </c>
      <c r="U24" s="25" t="n">
        <f aca="false">IF(L24&gt;=前提条件!$E$36,前提条件!$E$37,0)</f>
        <v>100000</v>
      </c>
      <c r="V24" s="25" t="n">
        <f aca="false">(O24+P24+Q24+R24+S24+T24+U24)*前提条件!$E$38</f>
        <v>64771.8070289362</v>
      </c>
      <c r="W24" s="26" t="n">
        <f aca="false">O24+P24+Q24+R24+S24+T24+U24+V24</f>
        <v>712489.877318298</v>
      </c>
      <c r="X24" s="26" t="n">
        <f aca="false">N24-W24</f>
        <v>1710958.93402035</v>
      </c>
      <c r="Y24" s="26" t="n">
        <f aca="false">Y23+X24</f>
        <v>8301880.08601327</v>
      </c>
    </row>
    <row r="25" customFormat="false" ht="15" hidden="false" customHeight="false" outlineLevel="0" collapsed="false">
      <c r="A25" s="21" t="n">
        <v>20</v>
      </c>
      <c r="B25" s="22" t="n">
        <f aca="false">C25/前提条件!$E$10</f>
        <v>6021.93258458249</v>
      </c>
      <c r="C25" s="22" t="n">
        <f aca="false">C24*(1+IF($A25&lt;=12,前提条件!$E$7,IF($A25&lt;=24,前提条件!$E$8,前提条件!$E$9)))</f>
        <v>2107.67640460387</v>
      </c>
      <c r="D25" s="22" t="n">
        <f aca="false">D24+C25</f>
        <v>24995.6209661313</v>
      </c>
      <c r="E25" s="23" t="n">
        <f aca="false">MAX(0,E24*(1-前提条件!$E$12)+C25*前提条件!$E$11-I25)</f>
        <v>6130.30325298021</v>
      </c>
      <c r="F25" s="23" t="n">
        <f aca="false">F24*(1-前提条件!$E$15)+I25</f>
        <v>3681.16696237634</v>
      </c>
      <c r="G25" s="23" t="n">
        <f aca="false">E25+F25</f>
        <v>9811.47021535654</v>
      </c>
      <c r="H25" s="24" t="n">
        <f aca="false">前提条件!$E$13*MIN(1,$A25/前提条件!$E$14)</f>
        <v>0.08</v>
      </c>
      <c r="I25" s="23" t="n">
        <f aca="false">E24*H25</f>
        <v>462.426160971914</v>
      </c>
      <c r="J25" s="25" t="n">
        <f aca="false">F25*前提条件!$E$16</f>
        <v>2576816.87366343</v>
      </c>
      <c r="K25" s="23" t="n">
        <f aca="false">IF($A25&lt;前提条件!$E$18,0,IF($A25&lt;=12,前提条件!$E$19,IF($A25&lt;=24,前提条件!$E$20,前提条件!$E$21)))</f>
        <v>2.8</v>
      </c>
      <c r="L25" s="23" t="n">
        <f aca="false">L24*(1-前提条件!$E$22)+K25</f>
        <v>33.6228899146526</v>
      </c>
      <c r="M25" s="25" t="n">
        <f aca="false">L25*前提条件!$E$23</f>
        <v>107593.247726888</v>
      </c>
      <c r="N25" s="26" t="n">
        <f aca="false">J25+M25</f>
        <v>2684410.12139032</v>
      </c>
      <c r="O25" s="25" t="n">
        <f aca="false">IF($A25&lt;=12,前提条件!$E$25,前提条件!$E$26)</f>
        <v>40000</v>
      </c>
      <c r="P25" s="25" t="n">
        <f aca="false">G25*前提条件!$E$27</f>
        <v>29434.4106460696</v>
      </c>
      <c r="Q25" s="25" t="n">
        <f aca="false">F25*前提条件!$E$28</f>
        <v>29449.3356990107</v>
      </c>
      <c r="R25" s="25" t="n">
        <f aca="false">N25*前提条件!$E$30</f>
        <v>214752.809711226</v>
      </c>
      <c r="S25" s="25" t="n">
        <f aca="false">IF($A25&lt;=12,前提条件!$E$31,IF($A25&lt;=24,前提条件!$E$32,前提条件!$E$33))</f>
        <v>200000</v>
      </c>
      <c r="T25" s="25" t="n">
        <f aca="false">IF(F25&gt;=前提条件!$E$34,前提条件!$E$35,0)</f>
        <v>60000</v>
      </c>
      <c r="U25" s="25" t="n">
        <f aca="false">IF(L25&gt;=前提条件!$E$36,前提条件!$E$37,0)</f>
        <v>100000</v>
      </c>
      <c r="V25" s="25" t="n">
        <f aca="false">(O25+P25+Q25+R25+S25+T25+U25)*前提条件!$E$38</f>
        <v>67363.6556056306</v>
      </c>
      <c r="W25" s="26" t="n">
        <f aca="false">O25+P25+Q25+R25+S25+T25+U25+V25</f>
        <v>741000.211661937</v>
      </c>
      <c r="X25" s="26" t="n">
        <f aca="false">N25-W25</f>
        <v>1943409.90972839</v>
      </c>
      <c r="Y25" s="26" t="n">
        <f aca="false">Y24+X25</f>
        <v>10245289.9957417</v>
      </c>
    </row>
    <row r="26" customFormat="false" ht="15" hidden="false" customHeight="false" outlineLevel="0" collapsed="false">
      <c r="A26" s="21" t="n">
        <v>21</v>
      </c>
      <c r="B26" s="22" t="n">
        <f aca="false">C26/前提条件!$E$10</f>
        <v>6323.02921381161</v>
      </c>
      <c r="C26" s="22" t="n">
        <f aca="false">C25*(1+IF($A26&lt;=12,前提条件!$E$7,IF($A26&lt;=24,前提条件!$E$8,前提条件!$E$9)))</f>
        <v>2213.06022483406</v>
      </c>
      <c r="D26" s="22" t="n">
        <f aca="false">D25+C26</f>
        <v>27208.6811909653</v>
      </c>
      <c r="E26" s="23" t="n">
        <f aca="false">MAX(0,E25*(1-前提条件!$E$12)+C26*前提条件!$E$11-I26)</f>
        <v>6489.24392122171</v>
      </c>
      <c r="F26" s="23" t="n">
        <f aca="false">F25*(1-前提条件!$E$15)+I26</f>
        <v>4061.15621374346</v>
      </c>
      <c r="G26" s="23" t="n">
        <f aca="false">E26+F26</f>
        <v>10550.4001349652</v>
      </c>
      <c r="H26" s="24" t="n">
        <f aca="false">前提条件!$E$13*MIN(1,$A26/前提条件!$E$14)</f>
        <v>0.08</v>
      </c>
      <c r="I26" s="23" t="n">
        <f aca="false">E25*H26</f>
        <v>490.424260238417</v>
      </c>
      <c r="J26" s="25" t="n">
        <f aca="false">F26*前提条件!$E$16</f>
        <v>2842809.34962042</v>
      </c>
      <c r="K26" s="23" t="n">
        <f aca="false">IF($A26&lt;前提条件!$E$18,0,IF($A26&lt;=12,前提条件!$E$19,IF($A26&lt;=24,前提条件!$E$20,前提条件!$E$21)))</f>
        <v>2.8</v>
      </c>
      <c r="L26" s="23" t="n">
        <f aca="false">L25*(1-前提条件!$E$22)+K26</f>
        <v>35.7504321163595</v>
      </c>
      <c r="M26" s="25" t="n">
        <f aca="false">L26*前提条件!$E$23</f>
        <v>114401.382772351</v>
      </c>
      <c r="N26" s="26" t="n">
        <f aca="false">J26+M26</f>
        <v>2957210.73239277</v>
      </c>
      <c r="O26" s="25" t="n">
        <f aca="false">IF($A26&lt;=12,前提条件!$E$25,前提条件!$E$26)</f>
        <v>40000</v>
      </c>
      <c r="P26" s="25" t="n">
        <f aca="false">G26*前提条件!$E$27</f>
        <v>31651.2004048955</v>
      </c>
      <c r="Q26" s="25" t="n">
        <f aca="false">F26*前提条件!$E$28</f>
        <v>32489.2497099477</v>
      </c>
      <c r="R26" s="25" t="n">
        <f aca="false">N26*前提条件!$E$30</f>
        <v>236576.858591422</v>
      </c>
      <c r="S26" s="25" t="n">
        <f aca="false">IF($A26&lt;=12,前提条件!$E$31,IF($A26&lt;=24,前提条件!$E$32,前提条件!$E$33))</f>
        <v>200000</v>
      </c>
      <c r="T26" s="25" t="n">
        <f aca="false">IF(F26&gt;=前提条件!$E$34,前提条件!$E$35,0)</f>
        <v>60000</v>
      </c>
      <c r="U26" s="25" t="n">
        <f aca="false">IF(L26&gt;=前提条件!$E$36,前提条件!$E$37,0)</f>
        <v>100000</v>
      </c>
      <c r="V26" s="25" t="n">
        <f aca="false">(O26+P26+Q26+R26+S26+T26+U26)*前提条件!$E$38</f>
        <v>70071.7308706265</v>
      </c>
      <c r="W26" s="26" t="n">
        <f aca="false">O26+P26+Q26+R26+S26+T26+U26+V26</f>
        <v>770789.039576892</v>
      </c>
      <c r="X26" s="26" t="n">
        <f aca="false">N26-W26</f>
        <v>2186421.69281588</v>
      </c>
      <c r="Y26" s="26" t="n">
        <f aca="false">Y25+X26</f>
        <v>12431711.6885575</v>
      </c>
    </row>
    <row r="27" customFormat="false" ht="15" hidden="false" customHeight="false" outlineLevel="0" collapsed="false">
      <c r="A27" s="21" t="n">
        <v>22</v>
      </c>
      <c r="B27" s="22" t="n">
        <f aca="false">C27/前提条件!$E$10</f>
        <v>6639.1806745022</v>
      </c>
      <c r="C27" s="22" t="n">
        <f aca="false">C26*(1+IF($A27&lt;=12,前提条件!$E$7,IF($A27&lt;=24,前提条件!$E$8,前提条件!$E$9)))</f>
        <v>2323.71323607577</v>
      </c>
      <c r="D27" s="22" t="n">
        <f aca="false">D26+C27</f>
        <v>29532.3944270411</v>
      </c>
      <c r="E27" s="23" t="n">
        <f aca="false">MAX(0,E26*(1-前提条件!$E$12)+C27*前提条件!$E$11-I27)</f>
        <v>6858.79205209235</v>
      </c>
      <c r="F27" s="23" t="n">
        <f aca="false">F26*(1-前提条件!$E$15)+I27</f>
        <v>4458.4610410289</v>
      </c>
      <c r="G27" s="23" t="n">
        <f aca="false">E27+F27</f>
        <v>11317.2530931212</v>
      </c>
      <c r="H27" s="24" t="n">
        <f aca="false">前提条件!$E$13*MIN(1,$A27/前提条件!$E$14)</f>
        <v>0.08</v>
      </c>
      <c r="I27" s="23" t="n">
        <f aca="false">E26*H27</f>
        <v>519.139513697737</v>
      </c>
      <c r="J27" s="25" t="n">
        <f aca="false">F27*前提条件!$E$16</f>
        <v>3120922.72872023</v>
      </c>
      <c r="K27" s="23" t="n">
        <f aca="false">IF($A27&lt;前提条件!$E$18,0,IF($A27&lt;=12,前提条件!$E$19,IF($A27&lt;=24,前提条件!$E$20,前提条件!$E$21)))</f>
        <v>2.8</v>
      </c>
      <c r="L27" s="23" t="n">
        <f aca="false">L26*(1-前提条件!$E$22)+K27</f>
        <v>37.8354234740323</v>
      </c>
      <c r="M27" s="25" t="n">
        <f aca="false">L27*前提条件!$E$23</f>
        <v>121073.355116904</v>
      </c>
      <c r="N27" s="26" t="n">
        <f aca="false">J27+M27</f>
        <v>3241996.08383713</v>
      </c>
      <c r="O27" s="25" t="n">
        <f aca="false">IF($A27&lt;=12,前提条件!$E$25,前提条件!$E$26)</f>
        <v>40000</v>
      </c>
      <c r="P27" s="25" t="n">
        <f aca="false">G27*前提条件!$E$27</f>
        <v>33951.7592793637</v>
      </c>
      <c r="Q27" s="25" t="n">
        <f aca="false">F27*前提条件!$E$28</f>
        <v>35667.6883282312</v>
      </c>
      <c r="R27" s="25" t="n">
        <f aca="false">N27*前提条件!$E$30</f>
        <v>259359.68670697</v>
      </c>
      <c r="S27" s="25" t="n">
        <f aca="false">IF($A27&lt;=12,前提条件!$E$31,IF($A27&lt;=24,前提条件!$E$32,前提条件!$E$33))</f>
        <v>200000</v>
      </c>
      <c r="T27" s="25" t="n">
        <f aca="false">IF(F27&gt;=前提条件!$E$34,前提条件!$E$35,0)</f>
        <v>60000</v>
      </c>
      <c r="U27" s="25" t="n">
        <f aca="false">IF(L27&gt;=前提条件!$E$36,前提条件!$E$37,0)</f>
        <v>100000</v>
      </c>
      <c r="V27" s="25" t="n">
        <f aca="false">(O27+P27+Q27+R27+S27+T27+U27)*前提条件!$E$38</f>
        <v>72897.9134314565</v>
      </c>
      <c r="W27" s="26" t="n">
        <f aca="false">O27+P27+Q27+R27+S27+T27+U27+V27</f>
        <v>801877.047746022</v>
      </c>
      <c r="X27" s="26" t="n">
        <f aca="false">N27-W27</f>
        <v>2440119.03609111</v>
      </c>
      <c r="Y27" s="26" t="n">
        <f aca="false">Y26+X27</f>
        <v>14871830.7246486</v>
      </c>
    </row>
    <row r="28" customFormat="false" ht="15" hidden="false" customHeight="false" outlineLevel="0" collapsed="false">
      <c r="A28" s="21" t="n">
        <v>23</v>
      </c>
      <c r="B28" s="22" t="n">
        <f aca="false">C28/前提条件!$E$10</f>
        <v>6971.13970822731</v>
      </c>
      <c r="C28" s="22" t="n">
        <f aca="false">C27*(1+IF($A28&lt;=12,前提条件!$E$7,IF($A28&lt;=24,前提条件!$E$8,前提条件!$E$9)))</f>
        <v>2439.89889787956</v>
      </c>
      <c r="D28" s="22" t="n">
        <f aca="false">D27+C28</f>
        <v>31972.2933249207</v>
      </c>
      <c r="E28" s="23" t="n">
        <f aca="false">MAX(0,E27*(1-前提条件!$E$12)+C28*前提条件!$E$11-I28)</f>
        <v>7240.50555863318</v>
      </c>
      <c r="F28" s="23" t="n">
        <f aca="false">F27*(1-前提条件!$E$15)+I28</f>
        <v>4873.41057396542</v>
      </c>
      <c r="G28" s="23" t="n">
        <f aca="false">E28+F28</f>
        <v>12113.9161325986</v>
      </c>
      <c r="H28" s="24" t="n">
        <f aca="false">前提条件!$E$13*MIN(1,$A28/前提条件!$E$14)</f>
        <v>0.08</v>
      </c>
      <c r="I28" s="23" t="n">
        <f aca="false">E27*H28</f>
        <v>548.703364167388</v>
      </c>
      <c r="J28" s="25" t="n">
        <f aca="false">F28*前提条件!$E$16</f>
        <v>3411387.40177579</v>
      </c>
      <c r="K28" s="23" t="n">
        <f aca="false">IF($A28&lt;前提条件!$E$18,0,IF($A28&lt;=12,前提条件!$E$19,IF($A28&lt;=24,前提条件!$E$20,前提条件!$E$21)))</f>
        <v>2.8</v>
      </c>
      <c r="L28" s="23" t="n">
        <f aca="false">L27*(1-前提条件!$E$22)+K28</f>
        <v>39.8787150045517</v>
      </c>
      <c r="M28" s="25" t="n">
        <f aca="false">L28*前提条件!$E$23</f>
        <v>127611.888014565</v>
      </c>
      <c r="N28" s="26" t="n">
        <f aca="false">J28+M28</f>
        <v>3538999.28979036</v>
      </c>
      <c r="O28" s="25" t="n">
        <f aca="false">IF($A28&lt;=12,前提条件!$E$25,前提条件!$E$26)</f>
        <v>40000</v>
      </c>
      <c r="P28" s="25" t="n">
        <f aca="false">G28*前提条件!$E$27</f>
        <v>36341.7483977958</v>
      </c>
      <c r="Q28" s="25" t="n">
        <f aca="false">F28*前提条件!$E$28</f>
        <v>38987.2845917233</v>
      </c>
      <c r="R28" s="25" t="n">
        <f aca="false">N28*前提条件!$E$30</f>
        <v>283119.943183229</v>
      </c>
      <c r="S28" s="25" t="n">
        <f aca="false">IF($A28&lt;=12,前提条件!$E$31,IF($A28&lt;=24,前提条件!$E$32,前提条件!$E$33))</f>
        <v>200000</v>
      </c>
      <c r="T28" s="25" t="n">
        <f aca="false">IF(F28&gt;=前提条件!$E$34,前提条件!$E$35,0)</f>
        <v>60000</v>
      </c>
      <c r="U28" s="25" t="n">
        <f aca="false">IF(L28&gt;=前提条件!$E$36,前提条件!$E$37,0)</f>
        <v>100000</v>
      </c>
      <c r="V28" s="25" t="n">
        <f aca="false">(O28+P28+Q28+R28+S28+T28+U28)*前提条件!$E$38</f>
        <v>75844.8976172748</v>
      </c>
      <c r="W28" s="26" t="n">
        <f aca="false">O28+P28+Q28+R28+S28+T28+U28+V28</f>
        <v>834293.873790023</v>
      </c>
      <c r="X28" s="26" t="n">
        <f aca="false">N28-W28</f>
        <v>2704705.41600033</v>
      </c>
      <c r="Y28" s="26" t="n">
        <f aca="false">Y27+X28</f>
        <v>17576536.140649</v>
      </c>
    </row>
    <row r="29" customFormat="false" ht="15" hidden="false" customHeight="false" outlineLevel="0" collapsed="false">
      <c r="A29" s="27" t="n">
        <v>24</v>
      </c>
      <c r="B29" s="28" t="n">
        <f aca="false">C29/前提条件!$E$10</f>
        <v>7319.69669363867</v>
      </c>
      <c r="C29" s="28" t="n">
        <f aca="false">C28*(1+IF($A29&lt;=12,前提条件!$E$7,IF($A29&lt;=24,前提条件!$E$8,前提条件!$E$9)))</f>
        <v>2561.89384277353</v>
      </c>
      <c r="D29" s="28" t="n">
        <f aca="false">D28+C29</f>
        <v>34534.1871676942</v>
      </c>
      <c r="E29" s="29" t="n">
        <f aca="false">MAX(0,E28*(1-前提条件!$E$12)+C29*前提条件!$E$11-I29)</f>
        <v>7635.87639394997</v>
      </c>
      <c r="F29" s="29" t="n">
        <f aca="false">F28*(1-前提条件!$E$15)+I29</f>
        <v>5306.44870143711</v>
      </c>
      <c r="G29" s="29" t="n">
        <f aca="false">E29+F29</f>
        <v>12942.3250953871</v>
      </c>
      <c r="H29" s="30" t="n">
        <f aca="false">前提条件!$E$13*MIN(1,$A29/前提条件!$E$14)</f>
        <v>0.08</v>
      </c>
      <c r="I29" s="29" t="n">
        <f aca="false">E28*H29</f>
        <v>579.240444690654</v>
      </c>
      <c r="J29" s="31" t="n">
        <f aca="false">F29*前提条件!$E$16</f>
        <v>3714514.09100598</v>
      </c>
      <c r="K29" s="29" t="n">
        <f aca="false">IF($A29&lt;前提条件!$E$18,0,IF($A29&lt;=12,前提条件!$E$19,IF($A29&lt;=24,前提条件!$E$20,前提条件!$E$21)))</f>
        <v>2.8</v>
      </c>
      <c r="L29" s="29" t="n">
        <f aca="false">L28*(1-前提条件!$E$22)+K29</f>
        <v>41.8811407044607</v>
      </c>
      <c r="M29" s="31" t="n">
        <f aca="false">L29*前提条件!$E$23</f>
        <v>134019.650254274</v>
      </c>
      <c r="N29" s="32" t="n">
        <f aca="false">J29+M29</f>
        <v>3848533.74126025</v>
      </c>
      <c r="O29" s="31" t="n">
        <f aca="false">IF($A29&lt;=12,前提条件!$E$25,前提条件!$E$26)</f>
        <v>40000</v>
      </c>
      <c r="P29" s="31" t="n">
        <f aca="false">G29*前提条件!$E$27</f>
        <v>38826.9752861612</v>
      </c>
      <c r="Q29" s="31" t="n">
        <f aca="false">F29*前提条件!$E$28</f>
        <v>42451.5896114969</v>
      </c>
      <c r="R29" s="31" t="n">
        <f aca="false">N29*前提条件!$E$30</f>
        <v>307882.69930082</v>
      </c>
      <c r="S29" s="31" t="n">
        <f aca="false">IF($A29&lt;=12,前提条件!$E$31,IF($A29&lt;=24,前提条件!$E$32,前提条件!$E$33))</f>
        <v>200000</v>
      </c>
      <c r="T29" s="31" t="n">
        <f aca="false">IF(F29&gt;=前提条件!$E$34,前提条件!$E$35,0)</f>
        <v>60000</v>
      </c>
      <c r="U29" s="31" t="n">
        <f aca="false">IF(L29&gt;=前提条件!$E$36,前提条件!$E$37,0)</f>
        <v>100000</v>
      </c>
      <c r="V29" s="31" t="n">
        <f aca="false">(O29+P29+Q29+R29+S29+T29+U29)*前提条件!$E$38</f>
        <v>78916.1264198478</v>
      </c>
      <c r="W29" s="32" t="n">
        <f aca="false">O29+P29+Q29+R29+S29+T29+U29+V29</f>
        <v>868077.390618326</v>
      </c>
      <c r="X29" s="32" t="n">
        <f aca="false">N29-W29</f>
        <v>2980456.35064192</v>
      </c>
      <c r="Y29" s="32" t="n">
        <f aca="false">Y28+X29</f>
        <v>20556992.4912909</v>
      </c>
    </row>
    <row r="30" customFormat="false" ht="15" hidden="false" customHeight="false" outlineLevel="0" collapsed="false">
      <c r="A30" s="21" t="n">
        <v>25</v>
      </c>
      <c r="B30" s="22" t="n">
        <f aca="false">C30/前提条件!$E$10</f>
        <v>7502.68911097964</v>
      </c>
      <c r="C30" s="22" t="n">
        <f aca="false">C29*(1+IF($A30&lt;=12,前提条件!$E$7,IF($A30&lt;=24,前提条件!$E$8,前提条件!$E$9)))</f>
        <v>2625.94118884287</v>
      </c>
      <c r="D30" s="22" t="n">
        <f aca="false">D29+C30</f>
        <v>37160.1283565371</v>
      </c>
      <c r="E30" s="23" t="n">
        <f aca="false">MAX(0,E29*(1-前提条件!$E$12)+C30*前提条件!$E$11-I30)</f>
        <v>8011.12135266056</v>
      </c>
      <c r="F30" s="23" t="n">
        <f aca="false">F29*(1-前提条件!$E$15)+I30</f>
        <v>5758.12535190999</v>
      </c>
      <c r="G30" s="23" t="n">
        <f aca="false">E30+F30</f>
        <v>13769.2467045705</v>
      </c>
      <c r="H30" s="24" t="n">
        <f aca="false">前提条件!$E$13*MIN(1,$A30/前提条件!$E$14)</f>
        <v>0.08</v>
      </c>
      <c r="I30" s="23" t="n">
        <f aca="false">E29*H30</f>
        <v>610.870111515998</v>
      </c>
      <c r="J30" s="25" t="n">
        <f aca="false">F30*前提条件!$E$16</f>
        <v>4030687.74633699</v>
      </c>
      <c r="K30" s="23" t="n">
        <f aca="false">IF($A30&lt;前提条件!$E$18,0,IF($A30&lt;=12,前提条件!$E$19,IF($A30&lt;=24,前提条件!$E$20,前提条件!$E$21)))</f>
        <v>3.8</v>
      </c>
      <c r="L30" s="23" t="n">
        <f aca="false">L29*(1-前提条件!$E$22)+K30</f>
        <v>44.8435178903714</v>
      </c>
      <c r="M30" s="25" t="n">
        <f aca="false">L30*前提条件!$E$23</f>
        <v>143499.257249189</v>
      </c>
      <c r="N30" s="26" t="n">
        <f aca="false">J30+M30</f>
        <v>4174187.00358618</v>
      </c>
      <c r="O30" s="25" t="n">
        <f aca="false">IF($A30&lt;=12,前提条件!$E$25,前提条件!$E$26)</f>
        <v>40000</v>
      </c>
      <c r="P30" s="25" t="n">
        <f aca="false">G30*前提条件!$E$27</f>
        <v>41307.7401137117</v>
      </c>
      <c r="Q30" s="25" t="n">
        <f aca="false">F30*前提条件!$E$28</f>
        <v>46065.0028152799</v>
      </c>
      <c r="R30" s="25" t="n">
        <f aca="false">N30*前提条件!$E$30</f>
        <v>333934.960286895</v>
      </c>
      <c r="S30" s="25" t="n">
        <f aca="false">IF($A30&lt;=12,前提条件!$E$31,IF($A30&lt;=24,前提条件!$E$32,前提条件!$E$33))</f>
        <v>250000</v>
      </c>
      <c r="T30" s="25" t="n">
        <f aca="false">IF(F30&gt;=前提条件!$E$34,前提条件!$E$35,0)</f>
        <v>60000</v>
      </c>
      <c r="U30" s="25" t="n">
        <f aca="false">IF(L30&gt;=前提条件!$E$36,前提条件!$E$37,0)</f>
        <v>100000</v>
      </c>
      <c r="V30" s="25" t="n">
        <f aca="false">(O30+P30+Q30+R30+S30+T30+U30)*前提条件!$E$38</f>
        <v>87130.7703215886</v>
      </c>
      <c r="W30" s="26" t="n">
        <f aca="false">O30+P30+Q30+R30+S30+T30+U30+V30</f>
        <v>958438.473537475</v>
      </c>
      <c r="X30" s="26" t="n">
        <f aca="false">N30-W30</f>
        <v>3215748.53004871</v>
      </c>
      <c r="Y30" s="26" t="n">
        <f aca="false">Y29+X30</f>
        <v>23772741.0213396</v>
      </c>
    </row>
    <row r="31" customFormat="false" ht="15" hidden="false" customHeight="false" outlineLevel="0" collapsed="false">
      <c r="A31" s="21" t="n">
        <v>26</v>
      </c>
      <c r="B31" s="22" t="n">
        <f aca="false">C31/前提条件!$E$10</f>
        <v>7690.25633875413</v>
      </c>
      <c r="C31" s="22" t="n">
        <f aca="false">C30*(1+IF($A31&lt;=12,前提条件!$E$7,IF($A31&lt;=24,前提条件!$E$8,前提条件!$E$9)))</f>
        <v>2691.58971856394</v>
      </c>
      <c r="D31" s="22" t="n">
        <f aca="false">D30+C31</f>
        <v>39851.718075101</v>
      </c>
      <c r="E31" s="23" t="n">
        <f aca="false">MAX(0,E30*(1-前提条件!$E$12)+C31*前提条件!$E$11-I31)</f>
        <v>8369.93870849825</v>
      </c>
      <c r="F31" s="23" t="n">
        <f aca="false">F30*(1-前提条件!$E$15)+I31</f>
        <v>6226.27129956554</v>
      </c>
      <c r="G31" s="23" t="n">
        <f aca="false">E31+F31</f>
        <v>14596.2100080638</v>
      </c>
      <c r="H31" s="24" t="n">
        <f aca="false">前提条件!$E$13*MIN(1,$A31/前提条件!$E$14)</f>
        <v>0.08</v>
      </c>
      <c r="I31" s="23" t="n">
        <f aca="false">E30*H31</f>
        <v>640.889708212845</v>
      </c>
      <c r="J31" s="25" t="n">
        <f aca="false">F31*前提条件!$E$16</f>
        <v>4358389.90969588</v>
      </c>
      <c r="K31" s="23" t="n">
        <f aca="false">IF($A31&lt;前提条件!$E$18,0,IF($A31&lt;=12,前提条件!$E$19,IF($A31&lt;=24,前提条件!$E$20,前提条件!$E$21)))</f>
        <v>3.8</v>
      </c>
      <c r="L31" s="23" t="n">
        <f aca="false">L30*(1-前提条件!$E$22)+K31</f>
        <v>47.746647532564</v>
      </c>
      <c r="M31" s="25" t="n">
        <f aca="false">L31*前提条件!$E$23</f>
        <v>152789.272104205</v>
      </c>
      <c r="N31" s="26" t="n">
        <f aca="false">J31+M31</f>
        <v>4511179.18180008</v>
      </c>
      <c r="O31" s="25" t="n">
        <f aca="false">IF($A31&lt;=12,前提条件!$E$25,前提条件!$E$26)</f>
        <v>40000</v>
      </c>
      <c r="P31" s="25" t="n">
        <f aca="false">G31*前提条件!$E$27</f>
        <v>43788.6300241914</v>
      </c>
      <c r="Q31" s="25" t="n">
        <f aca="false">F31*前提条件!$E$28</f>
        <v>49810.1703965243</v>
      </c>
      <c r="R31" s="25" t="n">
        <f aca="false">N31*前提条件!$E$30</f>
        <v>360894.334544006</v>
      </c>
      <c r="S31" s="25" t="n">
        <f aca="false">IF($A31&lt;=12,前提条件!$E$31,IF($A31&lt;=24,前提条件!$E$32,前提条件!$E$33))</f>
        <v>250000</v>
      </c>
      <c r="T31" s="25" t="n">
        <f aca="false">IF(F31&gt;=前提条件!$E$34,前提条件!$E$35,0)</f>
        <v>60000</v>
      </c>
      <c r="U31" s="25" t="n">
        <f aca="false">IF(L31&gt;=前提条件!$E$36,前提条件!$E$37,0)</f>
        <v>100000</v>
      </c>
      <c r="V31" s="25" t="n">
        <f aca="false">(O31+P31+Q31+R31+S31+T31+U31)*前提条件!$E$38</f>
        <v>90449.3134964722</v>
      </c>
      <c r="W31" s="26" t="n">
        <f aca="false">O31+P31+Q31+R31+S31+T31+U31+V31</f>
        <v>994942.448461194</v>
      </c>
      <c r="X31" s="26" t="n">
        <f aca="false">N31-W31</f>
        <v>3516236.73333889</v>
      </c>
      <c r="Y31" s="26" t="n">
        <f aca="false">Y30+X31</f>
        <v>27288977.7546785</v>
      </c>
    </row>
    <row r="32" customFormat="false" ht="15" hidden="false" customHeight="false" outlineLevel="0" collapsed="false">
      <c r="A32" s="21" t="n">
        <v>27</v>
      </c>
      <c r="B32" s="22" t="n">
        <f aca="false">C32/前提条件!$E$10</f>
        <v>7882.51274722298</v>
      </c>
      <c r="C32" s="22" t="n">
        <f aca="false">C31*(1+IF($A32&lt;=12,前提条件!$E$7,IF($A32&lt;=24,前提条件!$E$8,前提条件!$E$9)))</f>
        <v>2758.87946152804</v>
      </c>
      <c r="D32" s="22" t="n">
        <f aca="false">D31+C32</f>
        <v>42610.5975366291</v>
      </c>
      <c r="E32" s="23" t="n">
        <f aca="false">MAX(0,E31*(1-前提条件!$E$12)+C32*前提条件!$E$11-I32)</f>
        <v>8715.53099314892</v>
      </c>
      <c r="F32" s="23" t="n">
        <f aca="false">F31*(1-前提条件!$E$15)+I32</f>
        <v>6709.07825725843</v>
      </c>
      <c r="G32" s="23" t="n">
        <f aca="false">E32+F32</f>
        <v>15424.6092504073</v>
      </c>
      <c r="H32" s="24" t="n">
        <f aca="false">前提条件!$E$13*MIN(1,$A32/前提条件!$E$14)</f>
        <v>0.08</v>
      </c>
      <c r="I32" s="23" t="n">
        <f aca="false">E31*H32</f>
        <v>669.59509667986</v>
      </c>
      <c r="J32" s="25" t="n">
        <f aca="false">F32*前提条件!$E$16</f>
        <v>4696354.7800809</v>
      </c>
      <c r="K32" s="23" t="n">
        <f aca="false">IF($A32&lt;前提条件!$E$18,0,IF($A32&lt;=12,前提条件!$E$19,IF($A32&lt;=24,前提条件!$E$20,前提条件!$E$21)))</f>
        <v>3.8</v>
      </c>
      <c r="L32" s="23" t="n">
        <f aca="false">L31*(1-前提条件!$E$22)+K32</f>
        <v>50.5917145819127</v>
      </c>
      <c r="M32" s="25" t="n">
        <f aca="false">L32*前提条件!$E$23</f>
        <v>161893.486662121</v>
      </c>
      <c r="N32" s="26" t="n">
        <f aca="false">J32+M32</f>
        <v>4858248.26674302</v>
      </c>
      <c r="O32" s="25" t="n">
        <f aca="false">IF($A32&lt;=12,前提条件!$E$25,前提条件!$E$26)</f>
        <v>40000</v>
      </c>
      <c r="P32" s="25" t="n">
        <f aca="false">G32*前提条件!$E$27</f>
        <v>46273.827751222</v>
      </c>
      <c r="Q32" s="25" t="n">
        <f aca="false">F32*前提条件!$E$28</f>
        <v>53672.6260580674</v>
      </c>
      <c r="R32" s="25" t="n">
        <f aca="false">N32*前提条件!$E$30</f>
        <v>388659.861339442</v>
      </c>
      <c r="S32" s="25" t="n">
        <f aca="false">IF($A32&lt;=12,前提条件!$E$31,IF($A32&lt;=24,前提条件!$E$32,前提条件!$E$33))</f>
        <v>250000</v>
      </c>
      <c r="T32" s="25" t="n">
        <f aca="false">IF(F32&gt;=前提条件!$E$34,前提条件!$E$35,0)</f>
        <v>60000</v>
      </c>
      <c r="U32" s="25" t="n">
        <f aca="false">IF(L32&gt;=前提条件!$E$36,前提条件!$E$37,0)</f>
        <v>100000</v>
      </c>
      <c r="V32" s="25" t="n">
        <f aca="false">(O32+P32+Q32+R32+S32+T32+U32)*前提条件!$E$38</f>
        <v>93860.6315148731</v>
      </c>
      <c r="W32" s="26" t="n">
        <f aca="false">O32+P32+Q32+R32+S32+T32+U32+V32</f>
        <v>1032466.9466636</v>
      </c>
      <c r="X32" s="26" t="n">
        <f aca="false">N32-W32</f>
        <v>3825781.32007942</v>
      </c>
      <c r="Y32" s="26" t="n">
        <f aca="false">Y31+X32</f>
        <v>31114759.0747579</v>
      </c>
    </row>
    <row r="33" customFormat="false" ht="15" hidden="false" customHeight="false" outlineLevel="0" collapsed="false">
      <c r="A33" s="21" t="n">
        <v>28</v>
      </c>
      <c r="B33" s="22" t="n">
        <f aca="false">C33/前提条件!$E$10</f>
        <v>8079.57556590355</v>
      </c>
      <c r="C33" s="22" t="n">
        <f aca="false">C32*(1+IF($A33&lt;=12,前提条件!$E$7,IF($A33&lt;=24,前提条件!$E$8,前提条件!$E$9)))</f>
        <v>2827.85144806624</v>
      </c>
      <c r="D33" s="22" t="n">
        <f aca="false">D32+C33</f>
        <v>45438.4489846953</v>
      </c>
      <c r="E33" s="23" t="n">
        <f aca="false">MAX(0,E32*(1-前提条件!$E$12)+C33*前提条件!$E$11-I33)</f>
        <v>9050.6749505445</v>
      </c>
      <c r="F33" s="23" t="n">
        <f aca="false">F32*(1-前提条件!$E$15)+I33</f>
        <v>7205.04838899259</v>
      </c>
      <c r="G33" s="23" t="n">
        <f aca="false">E33+F33</f>
        <v>16255.7233395371</v>
      </c>
      <c r="H33" s="24" t="n">
        <f aca="false">前提条件!$E$13*MIN(1,$A33/前提条件!$E$14)</f>
        <v>0.08</v>
      </c>
      <c r="I33" s="23" t="n">
        <f aca="false">E32*H33</f>
        <v>697.242479451913</v>
      </c>
      <c r="J33" s="25" t="n">
        <f aca="false">F33*前提条件!$E$16</f>
        <v>5043533.87229481</v>
      </c>
      <c r="K33" s="23" t="n">
        <f aca="false">IF($A33&lt;前提条件!$E$18,0,IF($A33&lt;=12,前提条件!$E$19,IF($A33&lt;=24,前提条件!$E$20,前提条件!$E$21)))</f>
        <v>3.8</v>
      </c>
      <c r="L33" s="23" t="n">
        <f aca="false">L32*(1-前提条件!$E$22)+K33</f>
        <v>53.3798802902745</v>
      </c>
      <c r="M33" s="25" t="n">
        <f aca="false">L33*前提条件!$E$23</f>
        <v>170815.616928878</v>
      </c>
      <c r="N33" s="26" t="n">
        <f aca="false">J33+M33</f>
        <v>5214349.48922369</v>
      </c>
      <c r="O33" s="25" t="n">
        <f aca="false">IF($A33&lt;=12,前提条件!$E$25,前提条件!$E$26)</f>
        <v>40000</v>
      </c>
      <c r="P33" s="25" t="n">
        <f aca="false">G33*前提条件!$E$27</f>
        <v>48767.1700186113</v>
      </c>
      <c r="Q33" s="25" t="n">
        <f aca="false">F33*前提条件!$E$28</f>
        <v>57640.3871119407</v>
      </c>
      <c r="R33" s="25" t="n">
        <f aca="false">N33*前提条件!$E$30</f>
        <v>417147.959137895</v>
      </c>
      <c r="S33" s="25" t="n">
        <f aca="false">IF($A33&lt;=12,前提条件!$E$31,IF($A33&lt;=24,前提条件!$E$32,前提条件!$E$33))</f>
        <v>250000</v>
      </c>
      <c r="T33" s="25" t="n">
        <f aca="false">IF(F33&gt;=前提条件!$E$34,前提条件!$E$35,0)</f>
        <v>60000</v>
      </c>
      <c r="U33" s="25" t="n">
        <f aca="false">IF(L33&gt;=前提条件!$E$36,前提条件!$E$37,0)</f>
        <v>100000</v>
      </c>
      <c r="V33" s="25" t="n">
        <f aca="false">(O33+P33+Q33+R33+S33+T33+U33)*前提条件!$E$38</f>
        <v>97355.5516268447</v>
      </c>
      <c r="W33" s="26" t="n">
        <f aca="false">O33+P33+Q33+R33+S33+T33+U33+V33</f>
        <v>1070911.06789529</v>
      </c>
      <c r="X33" s="26" t="n">
        <f aca="false">N33-W33</f>
        <v>4143438.4213284</v>
      </c>
      <c r="Y33" s="26" t="n">
        <f aca="false">Y32+X33</f>
        <v>35258197.4960863</v>
      </c>
    </row>
    <row r="34" customFormat="false" ht="15" hidden="false" customHeight="false" outlineLevel="0" collapsed="false">
      <c r="A34" s="21" t="n">
        <v>29</v>
      </c>
      <c r="B34" s="22" t="n">
        <f aca="false">C34/前提条件!$E$10</f>
        <v>8281.56495505114</v>
      </c>
      <c r="C34" s="22" t="n">
        <f aca="false">C33*(1+IF($A34&lt;=12,前提条件!$E$7,IF($A34&lt;=24,前提条件!$E$8,前提条件!$E$9)))</f>
        <v>2898.5477342679</v>
      </c>
      <c r="D34" s="22" t="n">
        <f aca="false">D33+C34</f>
        <v>48336.9967189632</v>
      </c>
      <c r="E34" s="23" t="n">
        <f aca="false">MAX(0,E33*(1-前提条件!$E$12)+C34*前提条件!$E$11-I34)</f>
        <v>9377.78171131561</v>
      </c>
      <c r="F34" s="23" t="n">
        <f aca="false">F33*(1-前提条件!$E$15)+I34</f>
        <v>7712.95093336637</v>
      </c>
      <c r="G34" s="23" t="n">
        <f aca="false">E34+F34</f>
        <v>17090.732644682</v>
      </c>
      <c r="H34" s="24" t="n">
        <f aca="false">前提条件!$E$13*MIN(1,$A34/前提条件!$E$14)</f>
        <v>0.08</v>
      </c>
      <c r="I34" s="23" t="n">
        <f aca="false">E33*H34</f>
        <v>724.05399604356</v>
      </c>
      <c r="J34" s="25" t="n">
        <f aca="false">F34*前提条件!$E$16</f>
        <v>5399065.65335646</v>
      </c>
      <c r="K34" s="23" t="n">
        <f aca="false">IF($A34&lt;前提条件!$E$18,0,IF($A34&lt;=12,前提条件!$E$19,IF($A34&lt;=24,前提条件!$E$20,前提条件!$E$21)))</f>
        <v>3.8</v>
      </c>
      <c r="L34" s="23" t="n">
        <f aca="false">L33*(1-前提条件!$E$22)+K34</f>
        <v>56.112282684469</v>
      </c>
      <c r="M34" s="25" t="n">
        <f aca="false">L34*前提条件!$E$23</f>
        <v>179559.304590301</v>
      </c>
      <c r="N34" s="26" t="n">
        <f aca="false">J34+M34</f>
        <v>5578624.95794676</v>
      </c>
      <c r="O34" s="25" t="n">
        <f aca="false">IF($A34&lt;=12,前提条件!$E$25,前提条件!$E$26)</f>
        <v>40000</v>
      </c>
      <c r="P34" s="25" t="n">
        <f aca="false">G34*前提条件!$E$27</f>
        <v>51272.197934046</v>
      </c>
      <c r="Q34" s="25" t="n">
        <f aca="false">F34*前提条件!$E$28</f>
        <v>61703.607466931</v>
      </c>
      <c r="R34" s="25" t="n">
        <f aca="false">N34*前提条件!$E$30</f>
        <v>446289.996635741</v>
      </c>
      <c r="S34" s="25" t="n">
        <f aca="false">IF($A34&lt;=12,前提条件!$E$31,IF($A34&lt;=24,前提条件!$E$32,前提条件!$E$33))</f>
        <v>250000</v>
      </c>
      <c r="T34" s="25" t="n">
        <f aca="false">IF(F34&gt;=前提条件!$E$34,前提条件!$E$35,0)</f>
        <v>60000</v>
      </c>
      <c r="U34" s="25" t="n">
        <f aca="false">IF(L34&gt;=前提条件!$E$36,前提条件!$E$37,0)</f>
        <v>100000</v>
      </c>
      <c r="V34" s="25" t="n">
        <f aca="false">(O34+P34+Q34+R34+S34+T34+U34)*前提条件!$E$38</f>
        <v>100926.580203672</v>
      </c>
      <c r="W34" s="26" t="n">
        <f aca="false">O34+P34+Q34+R34+S34+T34+U34+V34</f>
        <v>1110192.38224039</v>
      </c>
      <c r="X34" s="26" t="n">
        <f aca="false">N34-W34</f>
        <v>4468432.57570637</v>
      </c>
      <c r="Y34" s="26" t="n">
        <f aca="false">Y33+X34</f>
        <v>39726630.0717927</v>
      </c>
    </row>
    <row r="35" customFormat="false" ht="15" hidden="false" customHeight="false" outlineLevel="0" collapsed="false">
      <c r="A35" s="21" t="n">
        <v>30</v>
      </c>
      <c r="B35" s="22" t="n">
        <f aca="false">C35/前提条件!$E$10</f>
        <v>8488.60407892742</v>
      </c>
      <c r="C35" s="22" t="n">
        <f aca="false">C34*(1+IF($A35&lt;=12,前提条件!$E$7,IF($A35&lt;=24,前提条件!$E$8,前提条件!$E$9)))</f>
        <v>2971.0114276246</v>
      </c>
      <c r="D35" s="22" t="n">
        <f aca="false">D34+C35</f>
        <v>51308.0081465878</v>
      </c>
      <c r="E35" s="23" t="n">
        <f aca="false">MAX(0,E34*(1-前提条件!$E$12)+C35*前提条件!$E$11-I35)</f>
        <v>9698.94855692496</v>
      </c>
      <c r="F35" s="23" t="n">
        <f aca="false">F34*(1-前提条件!$E$15)+I35</f>
        <v>8231.78494227063</v>
      </c>
      <c r="G35" s="23" t="n">
        <f aca="false">E35+F35</f>
        <v>17930.7334991956</v>
      </c>
      <c r="H35" s="24" t="n">
        <f aca="false">前提条件!$E$13*MIN(1,$A35/前提条件!$E$14)</f>
        <v>0.08</v>
      </c>
      <c r="I35" s="23" t="n">
        <f aca="false">E34*H35</f>
        <v>750.222536905249</v>
      </c>
      <c r="J35" s="25" t="n">
        <f aca="false">F35*前提条件!$E$16</f>
        <v>5762249.45958944</v>
      </c>
      <c r="K35" s="23" t="n">
        <f aca="false">IF($A35&lt;前提条件!$E$18,0,IF($A35&lt;=12,前提条件!$E$19,IF($A35&lt;=24,前提条件!$E$20,前提条件!$E$21)))</f>
        <v>3.8</v>
      </c>
      <c r="L35" s="23" t="n">
        <f aca="false">L34*(1-前提条件!$E$22)+K35</f>
        <v>58.7900370307796</v>
      </c>
      <c r="M35" s="25" t="n">
        <f aca="false">L35*前提条件!$E$23</f>
        <v>188128.118498495</v>
      </c>
      <c r="N35" s="26" t="n">
        <f aca="false">J35+M35</f>
        <v>5950377.57808794</v>
      </c>
      <c r="O35" s="25" t="n">
        <f aca="false">IF($A35&lt;=12,前提条件!$E$25,前提条件!$E$26)</f>
        <v>40000</v>
      </c>
      <c r="P35" s="25" t="n">
        <f aca="false">G35*前提条件!$E$27</f>
        <v>53792.2004975868</v>
      </c>
      <c r="Q35" s="25" t="n">
        <f aca="false">F35*前提条件!$E$28</f>
        <v>65854.279538165</v>
      </c>
      <c r="R35" s="25" t="n">
        <f aca="false">N35*前提条件!$E$30</f>
        <v>476030.206247035</v>
      </c>
      <c r="S35" s="25" t="n">
        <f aca="false">IF($A35&lt;=12,前提条件!$E$31,IF($A35&lt;=24,前提条件!$E$32,前提条件!$E$33))</f>
        <v>250000</v>
      </c>
      <c r="T35" s="25" t="n">
        <f aca="false">IF(F35&gt;=前提条件!$E$34,前提条件!$E$35,0)</f>
        <v>60000</v>
      </c>
      <c r="U35" s="25" t="n">
        <f aca="false">IF(L35&gt;=前提条件!$E$36,前提条件!$E$37,0)</f>
        <v>100000</v>
      </c>
      <c r="V35" s="25" t="n">
        <f aca="false">(O35+P35+Q35+R35+S35+T35+U35)*前提条件!$E$38</f>
        <v>104567.668628279</v>
      </c>
      <c r="W35" s="26" t="n">
        <f aca="false">O35+P35+Q35+R35+S35+T35+U35+V35</f>
        <v>1150244.35491107</v>
      </c>
      <c r="X35" s="26" t="n">
        <f aca="false">N35-W35</f>
        <v>4800133.22317687</v>
      </c>
      <c r="Y35" s="26" t="n">
        <f aca="false">Y34+X35</f>
        <v>44526763.2949696</v>
      </c>
    </row>
    <row r="36" customFormat="false" ht="15" hidden="false" customHeight="false" outlineLevel="0" collapsed="false">
      <c r="A36" s="21" t="n">
        <v>31</v>
      </c>
      <c r="B36" s="22" t="n">
        <f aca="false">C36/前提条件!$E$10</f>
        <v>8700.8191809006</v>
      </c>
      <c r="C36" s="22" t="n">
        <f aca="false">C35*(1+IF($A36&lt;=12,前提条件!$E$7,IF($A36&lt;=24,前提条件!$E$8,前提条件!$E$9)))</f>
        <v>3045.28671331521</v>
      </c>
      <c r="D36" s="22" t="n">
        <f aca="false">D35+C36</f>
        <v>54353.294859903</v>
      </c>
      <c r="E36" s="23" t="n">
        <f aca="false">MAX(0,E35*(1-前提条件!$E$12)+C36*前提条件!$E$11-I36)</f>
        <v>10016.0034512788</v>
      </c>
      <c r="F36" s="23" t="n">
        <f aca="false">F35*(1-前提条件!$E$15)+I36</f>
        <v>8760.74727855651</v>
      </c>
      <c r="G36" s="23" t="n">
        <f aca="false">E36+F36</f>
        <v>18776.7507298353</v>
      </c>
      <c r="H36" s="24" t="n">
        <f aca="false">前提条件!$E$13*MIN(1,$A36/前提条件!$E$14)</f>
        <v>0.08</v>
      </c>
      <c r="I36" s="23" t="n">
        <f aca="false">E35*H36</f>
        <v>775.915884553997</v>
      </c>
      <c r="J36" s="25" t="n">
        <f aca="false">F36*前提条件!$E$16</f>
        <v>6132523.09498955</v>
      </c>
      <c r="K36" s="23" t="n">
        <f aca="false">IF($A36&lt;前提条件!$E$18,0,IF($A36&lt;=12,前提条件!$E$19,IF($A36&lt;=24,前提条件!$E$20,前提条件!$E$21)))</f>
        <v>3.8</v>
      </c>
      <c r="L36" s="23" t="n">
        <f aca="false">L35*(1-前提条件!$E$22)+K36</f>
        <v>61.414236290164</v>
      </c>
      <c r="M36" s="25" t="n">
        <f aca="false">L36*前提条件!$E$23</f>
        <v>196525.556128525</v>
      </c>
      <c r="N36" s="26" t="n">
        <f aca="false">J36+M36</f>
        <v>6329048.65111808</v>
      </c>
      <c r="O36" s="25" t="n">
        <f aca="false">IF($A36&lt;=12,前提条件!$E$25,前提条件!$E$26)</f>
        <v>40000</v>
      </c>
      <c r="P36" s="25" t="n">
        <f aca="false">G36*前提条件!$E$27</f>
        <v>56330.252189506</v>
      </c>
      <c r="Q36" s="25" t="n">
        <f aca="false">F36*前提条件!$E$28</f>
        <v>70085.9782284521</v>
      </c>
      <c r="R36" s="25" t="n">
        <f aca="false">N36*前提条件!$E$30</f>
        <v>506323.892089446</v>
      </c>
      <c r="S36" s="25" t="n">
        <f aca="false">IF($A36&lt;=12,前提条件!$E$31,IF($A36&lt;=24,前提条件!$E$32,前提条件!$E$33))</f>
        <v>250000</v>
      </c>
      <c r="T36" s="25" t="n">
        <f aca="false">IF(F36&gt;=前提条件!$E$34,前提条件!$E$35,0)</f>
        <v>60000</v>
      </c>
      <c r="U36" s="25" t="n">
        <f aca="false">IF(L36&gt;=前提条件!$E$36,前提条件!$E$37,0)</f>
        <v>100000</v>
      </c>
      <c r="V36" s="25" t="n">
        <f aca="false">(O36+P36+Q36+R36+S36+T36+U36)*前提条件!$E$38</f>
        <v>108274.01225074</v>
      </c>
      <c r="W36" s="26" t="n">
        <f aca="false">O36+P36+Q36+R36+S36+T36+U36+V36</f>
        <v>1191014.13475815</v>
      </c>
      <c r="X36" s="26" t="n">
        <f aca="false">N36-W36</f>
        <v>5138034.51635994</v>
      </c>
      <c r="Y36" s="26" t="n">
        <f aca="false">Y35+X36</f>
        <v>49664797.8113295</v>
      </c>
    </row>
    <row r="37" customFormat="false" ht="15" hidden="false" customHeight="false" outlineLevel="0" collapsed="false">
      <c r="A37" s="21" t="n">
        <v>32</v>
      </c>
      <c r="B37" s="22" t="n">
        <f aca="false">C37/前提条件!$E$10</f>
        <v>8918.33966042312</v>
      </c>
      <c r="C37" s="22" t="n">
        <f aca="false">C36*(1+IF($A37&lt;=12,前提条件!$E$7,IF($A37&lt;=24,前提条件!$E$8,前提条件!$E$9)))</f>
        <v>3121.41888114809</v>
      </c>
      <c r="D37" s="22" t="n">
        <f aca="false">D36+C37</f>
        <v>57474.7137410511</v>
      </c>
      <c r="E37" s="23" t="n">
        <f aca="false">MAX(0,E36*(1-前提条件!$E$12)+C37*前提条件!$E$11-I37)</f>
        <v>10330.5433527312</v>
      </c>
      <c r="F37" s="23" t="n">
        <f aca="false">F36*(1-前提条件!$E$15)+I37</f>
        <v>9299.20513630212</v>
      </c>
      <c r="G37" s="23" t="n">
        <f aca="false">E37+F37</f>
        <v>19629.7484890334</v>
      </c>
      <c r="H37" s="24" t="n">
        <f aca="false">前提条件!$E$13*MIN(1,$A37/前提条件!$E$14)</f>
        <v>0.08</v>
      </c>
      <c r="I37" s="23" t="n">
        <f aca="false">E36*H37</f>
        <v>801.280276102306</v>
      </c>
      <c r="J37" s="25" t="n">
        <f aca="false">F37*前提条件!$E$16</f>
        <v>6509443.59541148</v>
      </c>
      <c r="K37" s="23" t="n">
        <f aca="false">IF($A37&lt;前提条件!$E$18,0,IF($A37&lt;=12,前提条件!$E$19,IF($A37&lt;=24,前提条件!$E$20,前提条件!$E$21)))</f>
        <v>3.8</v>
      </c>
      <c r="L37" s="23" t="n">
        <f aca="false">L36*(1-前提条件!$E$22)+K37</f>
        <v>63.9859515643607</v>
      </c>
      <c r="M37" s="25" t="n">
        <f aca="false">L37*前提条件!$E$23</f>
        <v>204755.045005954</v>
      </c>
      <c r="N37" s="26" t="n">
        <f aca="false">J37+M37</f>
        <v>6714198.64041744</v>
      </c>
      <c r="O37" s="25" t="n">
        <f aca="false">IF($A37&lt;=12,前提条件!$E$25,前提条件!$E$26)</f>
        <v>40000</v>
      </c>
      <c r="P37" s="25" t="n">
        <f aca="false">G37*前提条件!$E$27</f>
        <v>58889.2454671001</v>
      </c>
      <c r="Q37" s="25" t="n">
        <f aca="false">F37*前提条件!$E$28</f>
        <v>74393.6410904169</v>
      </c>
      <c r="R37" s="25" t="n">
        <f aca="false">N37*前提条件!$E$30</f>
        <v>537135.891233395</v>
      </c>
      <c r="S37" s="25" t="n">
        <f aca="false">IF($A37&lt;=12,前提条件!$E$31,IF($A37&lt;=24,前提条件!$E$32,前提条件!$E$33))</f>
        <v>250000</v>
      </c>
      <c r="T37" s="25" t="n">
        <f aca="false">IF(F37&gt;=前提条件!$E$34,前提条件!$E$35,0)</f>
        <v>60000</v>
      </c>
      <c r="U37" s="25" t="n">
        <f aca="false">IF(L37&gt;=前提条件!$E$36,前提条件!$E$37,0)</f>
        <v>100000</v>
      </c>
      <c r="V37" s="25" t="n">
        <f aca="false">(O37+P37+Q37+R37+S37+T37+U37)*前提条件!$E$38</f>
        <v>112041.877779091</v>
      </c>
      <c r="W37" s="26" t="n">
        <f aca="false">O37+P37+Q37+R37+S37+T37+U37+V37</f>
        <v>1232460.65557</v>
      </c>
      <c r="X37" s="26" t="n">
        <f aca="false">N37-W37</f>
        <v>5481737.98484743</v>
      </c>
      <c r="Y37" s="26" t="n">
        <f aca="false">Y36+X37</f>
        <v>55146535.7961769</v>
      </c>
    </row>
    <row r="38" customFormat="false" ht="15" hidden="false" customHeight="false" outlineLevel="0" collapsed="false">
      <c r="A38" s="21" t="n">
        <v>33</v>
      </c>
      <c r="B38" s="22" t="n">
        <f aca="false">C38/前提条件!$E$10</f>
        <v>9141.2981519337</v>
      </c>
      <c r="C38" s="22" t="n">
        <f aca="false">C37*(1+IF($A38&lt;=12,前提条件!$E$7,IF($A38&lt;=24,前提条件!$E$8,前提条件!$E$9)))</f>
        <v>3199.45435317679</v>
      </c>
      <c r="D38" s="22" t="n">
        <f aca="false">D37+C38</f>
        <v>60674.1680942279</v>
      </c>
      <c r="E38" s="23" t="n">
        <f aca="false">MAX(0,E37*(1-前提条件!$E$12)+C38*前提条件!$E$11-I38)</f>
        <v>10643.9671775961</v>
      </c>
      <c r="F38" s="23" t="n">
        <f aca="false">F37*(1-前提条件!$E$15)+I38</f>
        <v>9846.67245043155</v>
      </c>
      <c r="G38" s="23" t="n">
        <f aca="false">E38+F38</f>
        <v>20490.6396280277</v>
      </c>
      <c r="H38" s="24" t="n">
        <f aca="false">前提条件!$E$13*MIN(1,$A38/前提条件!$E$14)</f>
        <v>0.08</v>
      </c>
      <c r="I38" s="23" t="n">
        <f aca="false">E37*H38</f>
        <v>826.443468218499</v>
      </c>
      <c r="J38" s="25" t="n">
        <f aca="false">F38*前提条件!$E$16</f>
        <v>6892670.71530209</v>
      </c>
      <c r="K38" s="23" t="n">
        <f aca="false">IF($A38&lt;前提条件!$E$18,0,IF($A38&lt;=12,前提条件!$E$19,IF($A38&lt;=24,前提条件!$E$20,前提条件!$E$21)))</f>
        <v>3.8</v>
      </c>
      <c r="L38" s="23" t="n">
        <f aca="false">L37*(1-前提条件!$E$22)+K38</f>
        <v>66.5062325330735</v>
      </c>
      <c r="M38" s="25" t="n">
        <f aca="false">L38*前提条件!$E$23</f>
        <v>212819.944105835</v>
      </c>
      <c r="N38" s="26" t="n">
        <f aca="false">J38+M38</f>
        <v>7105490.65940792</v>
      </c>
      <c r="O38" s="25" t="n">
        <f aca="false">IF($A38&lt;=12,前提条件!$E$25,前提条件!$E$26)</f>
        <v>40000</v>
      </c>
      <c r="P38" s="25" t="n">
        <f aca="false">G38*前提条件!$E$27</f>
        <v>61471.918884083</v>
      </c>
      <c r="Q38" s="25" t="n">
        <f aca="false">F38*前提条件!$E$28</f>
        <v>78773.3796034524</v>
      </c>
      <c r="R38" s="25" t="n">
        <f aca="false">N38*前提条件!$E$30</f>
        <v>568439.252752634</v>
      </c>
      <c r="S38" s="25" t="n">
        <f aca="false">IF($A38&lt;=12,前提条件!$E$31,IF($A38&lt;=24,前提条件!$E$32,前提条件!$E$33))</f>
        <v>250000</v>
      </c>
      <c r="T38" s="25" t="n">
        <f aca="false">IF(F38&gt;=前提条件!$E$34,前提条件!$E$35,0)</f>
        <v>60000</v>
      </c>
      <c r="U38" s="25" t="n">
        <f aca="false">IF(L38&gt;=前提条件!$E$36,前提条件!$E$37,0)</f>
        <v>100000</v>
      </c>
      <c r="V38" s="25" t="n">
        <f aca="false">(O38+P38+Q38+R38+S38+T38+U38)*前提条件!$E$38</f>
        <v>115868.455124017</v>
      </c>
      <c r="W38" s="26" t="n">
        <f aca="false">O38+P38+Q38+R38+S38+T38+U38+V38</f>
        <v>1274553.00636419</v>
      </c>
      <c r="X38" s="26" t="n">
        <f aca="false">N38-W38</f>
        <v>5830937.65304374</v>
      </c>
      <c r="Y38" s="26" t="n">
        <f aca="false">Y37+X38</f>
        <v>60977473.4492207</v>
      </c>
    </row>
    <row r="39" customFormat="false" ht="15" hidden="false" customHeight="false" outlineLevel="0" collapsed="false">
      <c r="A39" s="21" t="n">
        <v>34</v>
      </c>
      <c r="B39" s="22" t="n">
        <f aca="false">C39/前提条件!$E$10</f>
        <v>9369.83060573204</v>
      </c>
      <c r="C39" s="22" t="n">
        <f aca="false">C38*(1+IF($A39&lt;=12,前提条件!$E$7,IF($A39&lt;=24,前提条件!$E$8,前提条件!$E$9)))</f>
        <v>3279.44071200621</v>
      </c>
      <c r="D39" s="22" t="n">
        <f aca="false">D38+C39</f>
        <v>63953.6088062341</v>
      </c>
      <c r="E39" s="23" t="n">
        <f aca="false">MAX(0,E38*(1-前提条件!$E$12)+C39*前提条件!$E$11-I39)</f>
        <v>10957.5041643361</v>
      </c>
      <c r="F39" s="23" t="n">
        <f aca="false">F38*(1-前提条件!$E$15)+I39</f>
        <v>10402.7896511263</v>
      </c>
      <c r="G39" s="23" t="n">
        <f aca="false">E39+F39</f>
        <v>21360.2938154624</v>
      </c>
      <c r="H39" s="24" t="n">
        <f aca="false">前提条件!$E$13*MIN(1,$A39/前提条件!$E$14)</f>
        <v>0.08</v>
      </c>
      <c r="I39" s="23" t="n">
        <f aca="false">E38*H39</f>
        <v>851.517374207688</v>
      </c>
      <c r="J39" s="25" t="n">
        <f aca="false">F39*前提条件!$E$16</f>
        <v>7281952.75578841</v>
      </c>
      <c r="K39" s="23" t="n">
        <f aca="false">IF($A39&lt;前提条件!$E$18,0,IF($A39&lt;=12,前提条件!$E$19,IF($A39&lt;=24,前提条件!$E$20,前提条件!$E$21)))</f>
        <v>3.8</v>
      </c>
      <c r="L39" s="23" t="n">
        <f aca="false">L38*(1-前提条件!$E$22)+K39</f>
        <v>68.976107882412</v>
      </c>
      <c r="M39" s="25" t="n">
        <f aca="false">L39*前提条件!$E$23</f>
        <v>220723.545223718</v>
      </c>
      <c r="N39" s="26" t="n">
        <f aca="false">J39+M39</f>
        <v>7502676.30101212</v>
      </c>
      <c r="O39" s="25" t="n">
        <f aca="false">IF($A39&lt;=12,前提条件!$E$25,前提条件!$E$26)</f>
        <v>40000</v>
      </c>
      <c r="P39" s="25" t="n">
        <f aca="false">G39*前提条件!$E$27</f>
        <v>64080.8814463871</v>
      </c>
      <c r="Q39" s="25" t="n">
        <f aca="false">F39*前提条件!$E$28</f>
        <v>83222.3172090104</v>
      </c>
      <c r="R39" s="25" t="n">
        <f aca="false">N39*前提条件!$E$30</f>
        <v>600214.10408097</v>
      </c>
      <c r="S39" s="25" t="n">
        <f aca="false">IF($A39&lt;=12,前提条件!$E$31,IF($A39&lt;=24,前提条件!$E$32,前提条件!$E$33))</f>
        <v>250000</v>
      </c>
      <c r="T39" s="25" t="n">
        <f aca="false">IF(F39&gt;=前提条件!$E$34,前提条件!$E$35,0)</f>
        <v>60000</v>
      </c>
      <c r="U39" s="25" t="n">
        <f aca="false">IF(L39&gt;=前提条件!$E$36,前提条件!$E$37,0)</f>
        <v>100000</v>
      </c>
      <c r="V39" s="25" t="n">
        <f aca="false">(O39+P39+Q39+R39+S39+T39+U39)*前提条件!$E$38</f>
        <v>119751.730273637</v>
      </c>
      <c r="W39" s="26" t="n">
        <f aca="false">O39+P39+Q39+R39+S39+T39+U39+V39</f>
        <v>1317269.03301</v>
      </c>
      <c r="X39" s="26" t="n">
        <f aca="false">N39-W39</f>
        <v>6185407.26800212</v>
      </c>
      <c r="Y39" s="26" t="n">
        <f aca="false">Y38+X39</f>
        <v>67162880.7172228</v>
      </c>
    </row>
    <row r="40" customFormat="false" ht="15" hidden="false" customHeight="false" outlineLevel="0" collapsed="false">
      <c r="A40" s="21" t="n">
        <v>35</v>
      </c>
      <c r="B40" s="22" t="n">
        <f aca="false">C40/前提条件!$E$10</f>
        <v>9604.07637087534</v>
      </c>
      <c r="C40" s="22" t="n">
        <f aca="false">C39*(1+IF($A40&lt;=12,前提条件!$E$7,IF($A40&lt;=24,前提条件!$E$8,前提条件!$E$9)))</f>
        <v>3361.42672980637</v>
      </c>
      <c r="D40" s="22" t="n">
        <f aca="false">D39+C40</f>
        <v>67315.0355360405</v>
      </c>
      <c r="E40" s="23" t="n">
        <f aca="false">MAX(0,E39*(1-前提条件!$E$12)+C40*前提条件!$E$11-I40)</f>
        <v>11272.2382827225</v>
      </c>
      <c r="F40" s="23" t="n">
        <f aca="false">F39*(1-前提条件!$E$15)+I40</f>
        <v>10967.3062947394</v>
      </c>
      <c r="G40" s="23" t="n">
        <f aca="false">E40+F40</f>
        <v>22239.5445774619</v>
      </c>
      <c r="H40" s="24" t="n">
        <f aca="false">前提条件!$E$13*MIN(1,$A40/前提条件!$E$14)</f>
        <v>0.08</v>
      </c>
      <c r="I40" s="23" t="n">
        <f aca="false">E39*H40</f>
        <v>876.600333146885</v>
      </c>
      <c r="J40" s="25" t="n">
        <f aca="false">F40*前提条件!$E$16</f>
        <v>7677114.40631757</v>
      </c>
      <c r="K40" s="23" t="n">
        <f aca="false">IF($A40&lt;前提条件!$E$18,0,IF($A40&lt;=12,前提条件!$E$19,IF($A40&lt;=24,前提条件!$E$20,前提条件!$E$21)))</f>
        <v>3.8</v>
      </c>
      <c r="L40" s="23" t="n">
        <f aca="false">L39*(1-前提条件!$E$22)+K40</f>
        <v>71.3965857247638</v>
      </c>
      <c r="M40" s="25" t="n">
        <f aca="false">L40*前提条件!$E$23</f>
        <v>228469.074319244</v>
      </c>
      <c r="N40" s="26" t="n">
        <f aca="false">J40+M40</f>
        <v>7905583.48063682</v>
      </c>
      <c r="O40" s="25" t="n">
        <f aca="false">IF($A40&lt;=12,前提条件!$E$25,前提条件!$E$26)</f>
        <v>40000</v>
      </c>
      <c r="P40" s="25" t="n">
        <f aca="false">G40*前提条件!$E$27</f>
        <v>66718.6337323857</v>
      </c>
      <c r="Q40" s="25" t="n">
        <f aca="false">F40*前提条件!$E$28</f>
        <v>87738.4503579151</v>
      </c>
      <c r="R40" s="25" t="n">
        <f aca="false">N40*前提条件!$E$30</f>
        <v>632446.678450945</v>
      </c>
      <c r="S40" s="25" t="n">
        <f aca="false">IF($A40&lt;=12,前提条件!$E$31,IF($A40&lt;=24,前提条件!$E$32,前提条件!$E$33))</f>
        <v>250000</v>
      </c>
      <c r="T40" s="25" t="n">
        <f aca="false">IF(F40&gt;=前提条件!$E$34,前提条件!$E$35,0)</f>
        <v>60000</v>
      </c>
      <c r="U40" s="25" t="n">
        <f aca="false">IF(L40&gt;=前提条件!$E$36,前提条件!$E$37,0)</f>
        <v>100000</v>
      </c>
      <c r="V40" s="25" t="n">
        <f aca="false">(O40+P40+Q40+R40+S40+T40+U40)*前提条件!$E$38</f>
        <v>123690.376254125</v>
      </c>
      <c r="W40" s="26" t="n">
        <f aca="false">O40+P40+Q40+R40+S40+T40+U40+V40</f>
        <v>1360594.13879537</v>
      </c>
      <c r="X40" s="26" t="n">
        <f aca="false">N40-W40</f>
        <v>6544989.34184145</v>
      </c>
      <c r="Y40" s="26" t="n">
        <f aca="false">Y39+X40</f>
        <v>73707870.0590642</v>
      </c>
    </row>
    <row r="41" customFormat="false" ht="15" hidden="false" customHeight="false" outlineLevel="0" collapsed="false">
      <c r="A41" s="27" t="n">
        <v>36</v>
      </c>
      <c r="B41" s="28" t="n">
        <f aca="false">C41/前提条件!$E$10</f>
        <v>9844.17828014722</v>
      </c>
      <c r="C41" s="28" t="n">
        <f aca="false">C40*(1+IF($A41&lt;=12,前提条件!$E$7,IF($A41&lt;=24,前提条件!$E$8,前提条件!$E$9)))</f>
        <v>3445.46239805153</v>
      </c>
      <c r="D41" s="28" t="n">
        <f aca="false">D40+C41</f>
        <v>70760.497934092</v>
      </c>
      <c r="E41" s="29" t="n">
        <f aca="false">MAX(0,E40*(1-前提条件!$E$12)+C41*前提条件!$E$11-I41)</f>
        <v>11589.1292420697</v>
      </c>
      <c r="F41" s="29" t="n">
        <f aca="false">F40*(1-前提条件!$E$15)+I41</f>
        <v>11540.066168515</v>
      </c>
      <c r="G41" s="29" t="n">
        <f aca="false">E41+F41</f>
        <v>23129.1954105847</v>
      </c>
      <c r="H41" s="30" t="n">
        <f aca="false">前提条件!$E$13*MIN(1,$A41/前提条件!$E$14)</f>
        <v>0.08</v>
      </c>
      <c r="I41" s="29" t="n">
        <f aca="false">E40*H41</f>
        <v>901.779062617801</v>
      </c>
      <c r="J41" s="31" t="n">
        <f aca="false">F41*前提条件!$E$16</f>
        <v>8078046.31796051</v>
      </c>
      <c r="K41" s="29" t="n">
        <f aca="false">IF($A41&lt;前提条件!$E$18,0,IF($A41&lt;=12,前提条件!$E$19,IF($A41&lt;=24,前提条件!$E$20,前提条件!$E$21)))</f>
        <v>3.8</v>
      </c>
      <c r="L41" s="29" t="n">
        <f aca="false">L40*(1-前提条件!$E$22)+K41</f>
        <v>73.7686540102685</v>
      </c>
      <c r="M41" s="31" t="n">
        <f aca="false">L41*前提条件!$E$23</f>
        <v>236059.692832859</v>
      </c>
      <c r="N41" s="32" t="n">
        <f aca="false">J41+M41</f>
        <v>8314106.01079337</v>
      </c>
      <c r="O41" s="31" t="n">
        <f aca="false">IF($A41&lt;=12,前提条件!$E$25,前提条件!$E$26)</f>
        <v>40000</v>
      </c>
      <c r="P41" s="31" t="n">
        <f aca="false">G41*前提条件!$E$27</f>
        <v>69387.5862317542</v>
      </c>
      <c r="Q41" s="31" t="n">
        <f aca="false">F41*前提条件!$E$28</f>
        <v>92320.5293481201</v>
      </c>
      <c r="R41" s="31" t="n">
        <f aca="false">N41*前提条件!$E$30</f>
        <v>665128.480863469</v>
      </c>
      <c r="S41" s="31" t="n">
        <f aca="false">IF($A41&lt;=12,前提条件!$E$31,IF($A41&lt;=24,前提条件!$E$32,前提条件!$E$33))</f>
        <v>250000</v>
      </c>
      <c r="T41" s="31" t="n">
        <f aca="false">IF(F41&gt;=前提条件!$E$34,前提条件!$E$35,0)</f>
        <v>60000</v>
      </c>
      <c r="U41" s="31" t="n">
        <f aca="false">IF(L41&gt;=前提条件!$E$36,前提条件!$E$37,0)</f>
        <v>100000</v>
      </c>
      <c r="V41" s="31" t="n">
        <f aca="false">(O41+P41+Q41+R41+S41+T41+U41)*前提条件!$E$38</f>
        <v>127683.659644334</v>
      </c>
      <c r="W41" s="32" t="n">
        <f aca="false">O41+P41+Q41+R41+S41+T41+U41+V41</f>
        <v>1404520.25608768</v>
      </c>
      <c r="X41" s="32" t="n">
        <f aca="false">N41-W41</f>
        <v>6909585.75470569</v>
      </c>
      <c r="Y41" s="32" t="n">
        <f aca="false">Y40+X41</f>
        <v>80617455.8137699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4" min="2" style="0" width="18"/>
  </cols>
  <sheetData>
    <row r="1" customFormat="false" ht="21.6" hidden="false" customHeight="false" outlineLevel="0" collapsed="false">
      <c r="A1" s="1" t="s">
        <v>131</v>
      </c>
    </row>
    <row r="2" customFormat="false" ht="15" hidden="false" customHeight="false" outlineLevel="0" collapsed="false">
      <c r="A2" s="5" t="s">
        <v>132</v>
      </c>
    </row>
    <row r="4" customFormat="false" ht="15" hidden="false" customHeight="false" outlineLevel="0" collapsed="false">
      <c r="A4" s="33" t="s">
        <v>133</v>
      </c>
      <c r="B4" s="8"/>
      <c r="C4" s="8"/>
      <c r="D4" s="8"/>
    </row>
    <row r="5" customFormat="false" ht="15" hidden="false" customHeight="false" outlineLevel="0" collapsed="false">
      <c r="A5" s="34" t="s">
        <v>134</v>
      </c>
      <c r="B5" s="35" t="s">
        <v>24</v>
      </c>
      <c r="C5" s="35" t="s">
        <v>25</v>
      </c>
      <c r="D5" s="35" t="s">
        <v>26</v>
      </c>
    </row>
    <row r="6" customFormat="false" ht="15" hidden="false" customHeight="false" outlineLevel="0" collapsed="false">
      <c r="A6" s="36" t="s">
        <v>135</v>
      </c>
      <c r="B6" s="37" t="n">
        <f aca="false">慎重ケース!D17</f>
        <v>2253.8708196288</v>
      </c>
      <c r="C6" s="37" t="n">
        <f aca="false">標準ケース!D17</f>
        <v>5366.53538126067</v>
      </c>
      <c r="D6" s="37" t="n">
        <f aca="false">好調ケース!D17</f>
        <v>10692.141883605</v>
      </c>
    </row>
    <row r="7" customFormat="false" ht="15" hidden="false" customHeight="false" outlineLevel="0" collapsed="false">
      <c r="A7" s="38" t="s">
        <v>136</v>
      </c>
      <c r="B7" s="39" t="n">
        <f aca="false">慎重ケース!G17</f>
        <v>623.576053399069</v>
      </c>
      <c r="C7" s="39" t="n">
        <f aca="false">標準ケース!G17</f>
        <v>1798.30593014287</v>
      </c>
      <c r="D7" s="39" t="n">
        <f aca="false">好調ケース!G17</f>
        <v>4687.45502439148</v>
      </c>
    </row>
    <row r="8" customFormat="false" ht="15" hidden="false" customHeight="false" outlineLevel="0" collapsed="false">
      <c r="A8" s="36" t="s">
        <v>137</v>
      </c>
      <c r="B8" s="39" t="n">
        <f aca="false">慎重ケース!E17</f>
        <v>543.767263632564</v>
      </c>
      <c r="C8" s="39" t="n">
        <f aca="false">標準ケース!E17</f>
        <v>1451.24221206282</v>
      </c>
      <c r="D8" s="39" t="n">
        <f aca="false">好調ケース!E17</f>
        <v>3413.83690007586</v>
      </c>
    </row>
    <row r="9" customFormat="false" ht="15" hidden="false" customHeight="false" outlineLevel="0" collapsed="false">
      <c r="A9" s="36" t="s">
        <v>138</v>
      </c>
      <c r="B9" s="39" t="n">
        <f aca="false">慎重ケース!F17</f>
        <v>79.8087897665054</v>
      </c>
      <c r="C9" s="39" t="n">
        <f aca="false">標準ケース!F17</f>
        <v>347.063718080051</v>
      </c>
      <c r="D9" s="39" t="n">
        <f aca="false">好調ケース!F17</f>
        <v>1273.61812431562</v>
      </c>
    </row>
    <row r="10" customFormat="false" ht="15" hidden="false" customHeight="false" outlineLevel="0" collapsed="false">
      <c r="A10" s="36" t="s">
        <v>139</v>
      </c>
      <c r="B10" s="40" t="n">
        <f aca="false">慎重ケース!H17</f>
        <v>0.03</v>
      </c>
      <c r="C10" s="40" t="n">
        <f aca="false">標準ケース!H17</f>
        <v>0.05</v>
      </c>
      <c r="D10" s="40" t="n">
        <f aca="false">好調ケース!H17</f>
        <v>0.08</v>
      </c>
    </row>
    <row r="11" customFormat="false" ht="15" hidden="false" customHeight="false" outlineLevel="0" collapsed="false">
      <c r="A11" s="36" t="s">
        <v>140</v>
      </c>
      <c r="B11" s="26" t="n">
        <f aca="false">慎重ケース!J17</f>
        <v>43894.834371578</v>
      </c>
      <c r="C11" s="26" t="n">
        <f aca="false">標準ケース!J17</f>
        <v>215179.505209632</v>
      </c>
      <c r="D11" s="26" t="n">
        <f aca="false">好調ケース!J17</f>
        <v>891532.687020935</v>
      </c>
    </row>
    <row r="12" customFormat="false" ht="15" hidden="false" customHeight="false" outlineLevel="0" collapsed="false">
      <c r="A12" s="36" t="s">
        <v>141</v>
      </c>
      <c r="B12" s="39" t="n">
        <f aca="false">慎重ケース!L17</f>
        <v>1.62931657728</v>
      </c>
      <c r="C12" s="39" t="n">
        <f aca="false">標準ケース!L17</f>
        <v>7.33392785350952</v>
      </c>
      <c r="D12" s="39" t="n">
        <f aca="false">好調ケース!L17</f>
        <v>14.9627014082865</v>
      </c>
    </row>
    <row r="13" customFormat="false" ht="15" hidden="false" customHeight="false" outlineLevel="0" collapsed="false">
      <c r="A13" s="36" t="s">
        <v>142</v>
      </c>
      <c r="B13" s="26" t="n">
        <f aca="false">慎重ケース!M17</f>
        <v>3258.63315456</v>
      </c>
      <c r="C13" s="26" t="n">
        <f aca="false">標準ケース!M17</f>
        <v>19068.2124191248</v>
      </c>
      <c r="D13" s="26" t="n">
        <f aca="false">好調ケース!M17</f>
        <v>47880.6445065168</v>
      </c>
    </row>
    <row r="14" customFormat="false" ht="15" hidden="false" customHeight="false" outlineLevel="0" collapsed="false">
      <c r="A14" s="36" t="s">
        <v>143</v>
      </c>
      <c r="B14" s="26" t="n">
        <f aca="false">慎重ケース!N17</f>
        <v>47153.467526138</v>
      </c>
      <c r="C14" s="26" t="n">
        <f aca="false">標準ケース!N17</f>
        <v>234247.717628756</v>
      </c>
      <c r="D14" s="26" t="n">
        <f aca="false">好調ケース!N17</f>
        <v>939413.331527452</v>
      </c>
    </row>
    <row r="15" customFormat="false" ht="15" hidden="false" customHeight="false" outlineLevel="0" collapsed="false">
      <c r="A15" s="36" t="s">
        <v>144</v>
      </c>
      <c r="B15" s="26" t="n">
        <f aca="false">慎重ケース!W17</f>
        <v>56409.6234684623</v>
      </c>
      <c r="C15" s="26" t="n">
        <f aca="false">標準ケース!W17</f>
        <v>134102.369439907</v>
      </c>
      <c r="D15" s="26" t="n">
        <f aca="false">好調ケース!W17</f>
        <v>470144.814248885</v>
      </c>
    </row>
    <row r="16" customFormat="false" ht="15" hidden="false" customHeight="false" outlineLevel="0" collapsed="false">
      <c r="A16" s="36" t="s">
        <v>145</v>
      </c>
      <c r="B16" s="26" t="n">
        <f aca="false">慎重ケース!X17</f>
        <v>-9256.15594232436</v>
      </c>
      <c r="C16" s="26" t="n">
        <f aca="false">標準ケース!X17</f>
        <v>100145.34818885</v>
      </c>
      <c r="D16" s="26" t="n">
        <f aca="false">好調ケース!X17</f>
        <v>469268.517278566</v>
      </c>
    </row>
    <row r="17" customFormat="false" ht="15" hidden="false" customHeight="false" outlineLevel="0" collapsed="false">
      <c r="A17" s="36" t="s">
        <v>146</v>
      </c>
      <c r="B17" s="26" t="n">
        <f aca="false">慎重ケース!Y17</f>
        <v>-424005.837597333</v>
      </c>
      <c r="C17" s="26" t="n">
        <f aca="false">標準ケース!Y17</f>
        <v>-367141.257654739</v>
      </c>
      <c r="D17" s="26" t="n">
        <f aca="false">好調ケース!Y17</f>
        <v>606851.467015189</v>
      </c>
    </row>
    <row r="18" customFormat="false" ht="15" hidden="false" customHeight="false" outlineLevel="0" collapsed="false">
      <c r="A18" s="41" t="s">
        <v>147</v>
      </c>
      <c r="B18" s="42" t="n">
        <f aca="false">SUM(慎重ケース!N6:N17)</f>
        <v>204983.874287451</v>
      </c>
      <c r="C18" s="42" t="n">
        <f aca="false">SUM(標準ケース!N6:N17)</f>
        <v>1027237.11638112</v>
      </c>
      <c r="D18" s="42" t="n">
        <f aca="false">SUM(好調ケース!N6:N17)</f>
        <v>4090840.0175957</v>
      </c>
    </row>
    <row r="20" customFormat="false" ht="15" hidden="false" customHeight="false" outlineLevel="0" collapsed="false">
      <c r="A20" s="33" t="s">
        <v>148</v>
      </c>
      <c r="B20" s="8"/>
      <c r="C20" s="8"/>
      <c r="D20" s="8"/>
    </row>
    <row r="21" customFormat="false" ht="15" hidden="false" customHeight="false" outlineLevel="0" collapsed="false">
      <c r="A21" s="34" t="s">
        <v>134</v>
      </c>
      <c r="B21" s="35" t="s">
        <v>24</v>
      </c>
      <c r="C21" s="35" t="s">
        <v>25</v>
      </c>
      <c r="D21" s="35" t="s">
        <v>26</v>
      </c>
    </row>
    <row r="22" customFormat="false" ht="15" hidden="false" customHeight="false" outlineLevel="0" collapsed="false">
      <c r="A22" s="36" t="s">
        <v>135</v>
      </c>
      <c r="B22" s="37" t="n">
        <f aca="false">慎重ケース!D29</f>
        <v>5412.90709777978</v>
      </c>
      <c r="C22" s="37" t="n">
        <f aca="false">標準ケース!D29</f>
        <v>15234.1893227095</v>
      </c>
      <c r="D22" s="37" t="n">
        <f aca="false">好調ケース!D29</f>
        <v>34534.1871676942</v>
      </c>
    </row>
    <row r="23" customFormat="false" ht="15" hidden="false" customHeight="false" outlineLevel="0" collapsed="false">
      <c r="A23" s="38" t="s">
        <v>136</v>
      </c>
      <c r="B23" s="39" t="n">
        <f aca="false">慎重ケース!G29</f>
        <v>1117.09398366509</v>
      </c>
      <c r="C23" s="39" t="n">
        <f aca="false">標準ケース!G29</f>
        <v>4127.10340319199</v>
      </c>
      <c r="D23" s="39" t="n">
        <f aca="false">好調ケース!G29</f>
        <v>12942.3250953871</v>
      </c>
    </row>
    <row r="24" customFormat="false" ht="15" hidden="false" customHeight="false" outlineLevel="0" collapsed="false">
      <c r="A24" s="36" t="s">
        <v>137</v>
      </c>
      <c r="B24" s="39" t="n">
        <f aca="false">慎重ケース!E29</f>
        <v>874.434367420623</v>
      </c>
      <c r="C24" s="39" t="n">
        <f aca="false">標準ケース!E29</f>
        <v>2871.76348046266</v>
      </c>
      <c r="D24" s="39" t="n">
        <f aca="false">好調ケース!E29</f>
        <v>7635.87639394997</v>
      </c>
    </row>
    <row r="25" customFormat="false" ht="15" hidden="false" customHeight="false" outlineLevel="0" collapsed="false">
      <c r="A25" s="36" t="s">
        <v>138</v>
      </c>
      <c r="B25" s="39" t="n">
        <f aca="false">慎重ケース!F29</f>
        <v>242.659616244463</v>
      </c>
      <c r="C25" s="39" t="n">
        <f aca="false">標準ケース!F29</f>
        <v>1255.33992272933</v>
      </c>
      <c r="D25" s="39" t="n">
        <f aca="false">好調ケース!F29</f>
        <v>5306.44870143711</v>
      </c>
    </row>
    <row r="26" customFormat="false" ht="15" hidden="false" customHeight="false" outlineLevel="0" collapsed="false">
      <c r="A26" s="36" t="s">
        <v>139</v>
      </c>
      <c r="B26" s="40" t="n">
        <f aca="false">慎重ケース!H29</f>
        <v>0.03</v>
      </c>
      <c r="C26" s="40" t="n">
        <f aca="false">標準ケース!H29</f>
        <v>0.05</v>
      </c>
      <c r="D26" s="40" t="n">
        <f aca="false">好調ケース!H29</f>
        <v>0.08</v>
      </c>
    </row>
    <row r="27" customFormat="false" ht="15" hidden="false" customHeight="false" outlineLevel="0" collapsed="false">
      <c r="A27" s="36" t="s">
        <v>140</v>
      </c>
      <c r="B27" s="26" t="n">
        <f aca="false">慎重ケース!J29</f>
        <v>133462.788934454</v>
      </c>
      <c r="C27" s="26" t="n">
        <f aca="false">標準ケース!J29</f>
        <v>778310.752092185</v>
      </c>
      <c r="D27" s="26" t="n">
        <f aca="false">好調ケース!J29</f>
        <v>3714514.09100598</v>
      </c>
    </row>
    <row r="28" customFormat="false" ht="15" hidden="false" customHeight="false" outlineLevel="0" collapsed="false">
      <c r="A28" s="36" t="s">
        <v>141</v>
      </c>
      <c r="B28" s="39" t="n">
        <f aca="false">慎重ケース!L29</f>
        <v>5.8394261980565</v>
      </c>
      <c r="C28" s="39" t="n">
        <f aca="false">標準ケース!L29</f>
        <v>22.1805324913964</v>
      </c>
      <c r="D28" s="39" t="n">
        <f aca="false">好調ケース!L29</f>
        <v>41.8811407044607</v>
      </c>
    </row>
    <row r="29" customFormat="false" ht="15" hidden="false" customHeight="false" outlineLevel="0" collapsed="false">
      <c r="A29" s="36" t="s">
        <v>142</v>
      </c>
      <c r="B29" s="26" t="n">
        <f aca="false">慎重ケース!M29</f>
        <v>11678.852396113</v>
      </c>
      <c r="C29" s="26" t="n">
        <f aca="false">標準ケース!M29</f>
        <v>57669.3844776305</v>
      </c>
      <c r="D29" s="26" t="n">
        <f aca="false">好調ケース!M29</f>
        <v>134019.650254274</v>
      </c>
    </row>
    <row r="30" customFormat="false" ht="15" hidden="false" customHeight="false" outlineLevel="0" collapsed="false">
      <c r="A30" s="36" t="s">
        <v>143</v>
      </c>
      <c r="B30" s="26" t="n">
        <f aca="false">慎重ケース!N29</f>
        <v>145141.641330567</v>
      </c>
      <c r="C30" s="26" t="n">
        <f aca="false">標準ケース!N29</f>
        <v>835980.136569815</v>
      </c>
      <c r="D30" s="26" t="n">
        <f aca="false">好調ケース!N29</f>
        <v>3848533.74126025</v>
      </c>
    </row>
    <row r="31" customFormat="false" ht="15" hidden="false" customHeight="false" outlineLevel="0" collapsed="false">
      <c r="A31" s="36" t="s">
        <v>144</v>
      </c>
      <c r="B31" s="26" t="n">
        <f aca="false">慎重ケース!W29</f>
        <v>90094.279206136</v>
      </c>
      <c r="C31" s="26" t="n">
        <f aca="false">標準ケース!W29</f>
        <v>384232.684568695</v>
      </c>
      <c r="D31" s="26" t="n">
        <f aca="false">好調ケース!W29</f>
        <v>868077.390618326</v>
      </c>
    </row>
    <row r="32" customFormat="false" ht="15" hidden="false" customHeight="false" outlineLevel="0" collapsed="false">
      <c r="A32" s="36" t="s">
        <v>145</v>
      </c>
      <c r="B32" s="26" t="n">
        <f aca="false">慎重ケース!X29</f>
        <v>55047.3621244315</v>
      </c>
      <c r="C32" s="26" t="n">
        <f aca="false">標準ケース!X29</f>
        <v>451747.45200112</v>
      </c>
      <c r="D32" s="26" t="n">
        <f aca="false">好調ケース!X29</f>
        <v>2980456.35064192</v>
      </c>
    </row>
    <row r="33" customFormat="false" ht="15" hidden="false" customHeight="false" outlineLevel="0" collapsed="false">
      <c r="A33" s="36" t="s">
        <v>146</v>
      </c>
      <c r="B33" s="26" t="n">
        <f aca="false">慎重ケース!Y29</f>
        <v>-245411.753730228</v>
      </c>
      <c r="C33" s="26" t="n">
        <f aca="false">標準ケース!Y29</f>
        <v>2103895.30195103</v>
      </c>
      <c r="D33" s="26" t="n">
        <f aca="false">好調ケース!Y29</f>
        <v>20556992.4912909</v>
      </c>
    </row>
    <row r="34" customFormat="false" ht="15" hidden="false" customHeight="false" outlineLevel="0" collapsed="false">
      <c r="A34" s="41" t="s">
        <v>149</v>
      </c>
      <c r="B34" s="42" t="n">
        <f aca="false">SUM(慎重ケース!N18:N29)</f>
        <v>1194965.82392507</v>
      </c>
      <c r="C34" s="42" t="n">
        <f aca="false">SUM(標準ケース!N18:N29)</f>
        <v>6479873.77345697</v>
      </c>
      <c r="D34" s="42" t="n">
        <f aca="false">SUM(好調ケース!N18:N29)</f>
        <v>28426595.4878427</v>
      </c>
    </row>
    <row r="36" customFormat="false" ht="15" hidden="false" customHeight="false" outlineLevel="0" collapsed="false">
      <c r="A36" s="33" t="s">
        <v>150</v>
      </c>
      <c r="B36" s="8"/>
      <c r="C36" s="8"/>
      <c r="D36" s="8"/>
    </row>
    <row r="37" customFormat="false" ht="15" hidden="false" customHeight="false" outlineLevel="0" collapsed="false">
      <c r="A37" s="34" t="s">
        <v>134</v>
      </c>
      <c r="B37" s="35" t="s">
        <v>24</v>
      </c>
      <c r="C37" s="35" t="s">
        <v>25</v>
      </c>
      <c r="D37" s="35" t="s">
        <v>26</v>
      </c>
    </row>
    <row r="38" customFormat="false" ht="15" hidden="false" customHeight="false" outlineLevel="0" collapsed="false">
      <c r="A38" s="36" t="s">
        <v>135</v>
      </c>
      <c r="B38" s="37" t="n">
        <f aca="false">慎重ケース!D41</f>
        <v>9164.2468605672</v>
      </c>
      <c r="C38" s="37" t="n">
        <f aca="false">標準ケース!D41</f>
        <v>29064.7409718099</v>
      </c>
      <c r="D38" s="37" t="n">
        <f aca="false">好調ケース!D41</f>
        <v>70760.497934092</v>
      </c>
    </row>
    <row r="39" customFormat="false" ht="15" hidden="false" customHeight="false" outlineLevel="0" collapsed="false">
      <c r="A39" s="38" t="s">
        <v>136</v>
      </c>
      <c r="B39" s="39" t="n">
        <f aca="false">慎重ケース!G41</f>
        <v>1487.34062457631</v>
      </c>
      <c r="C39" s="39" t="n">
        <f aca="false">標準ケース!G41</f>
        <v>6578.12839155861</v>
      </c>
      <c r="D39" s="39" t="n">
        <f aca="false">好調ケース!G41</f>
        <v>23129.1954105847</v>
      </c>
    </row>
    <row r="40" customFormat="false" ht="15" hidden="false" customHeight="false" outlineLevel="0" collapsed="false">
      <c r="A40" s="36" t="s">
        <v>137</v>
      </c>
      <c r="B40" s="39" t="n">
        <f aca="false">慎重ケース!E41</f>
        <v>1083.46039428388</v>
      </c>
      <c r="C40" s="39" t="n">
        <f aca="false">標準ケース!E41</f>
        <v>4108.17830581091</v>
      </c>
      <c r="D40" s="39" t="n">
        <f aca="false">好調ケース!E41</f>
        <v>11589.1292420697</v>
      </c>
    </row>
    <row r="41" customFormat="false" ht="15" hidden="false" customHeight="false" outlineLevel="0" collapsed="false">
      <c r="A41" s="36" t="s">
        <v>138</v>
      </c>
      <c r="B41" s="39" t="n">
        <f aca="false">慎重ケース!F41</f>
        <v>403.880230292424</v>
      </c>
      <c r="C41" s="39" t="n">
        <f aca="false">標準ケース!F41</f>
        <v>2469.9500857477</v>
      </c>
      <c r="D41" s="39" t="n">
        <f aca="false">好調ケース!F41</f>
        <v>11540.066168515</v>
      </c>
    </row>
    <row r="42" customFormat="false" ht="15" hidden="false" customHeight="false" outlineLevel="0" collapsed="false">
      <c r="A42" s="36" t="s">
        <v>139</v>
      </c>
      <c r="B42" s="40" t="n">
        <f aca="false">慎重ケース!H41</f>
        <v>0.03</v>
      </c>
      <c r="C42" s="40" t="n">
        <f aca="false">標準ケース!H41</f>
        <v>0.05</v>
      </c>
      <c r="D42" s="40" t="n">
        <f aca="false">好調ケース!H41</f>
        <v>0.08</v>
      </c>
    </row>
    <row r="43" customFormat="false" ht="15" hidden="false" customHeight="false" outlineLevel="0" collapsed="false">
      <c r="A43" s="36" t="s">
        <v>140</v>
      </c>
      <c r="B43" s="26" t="n">
        <f aca="false">慎重ケース!J41</f>
        <v>222134.126660833</v>
      </c>
      <c r="C43" s="26" t="n">
        <f aca="false">標準ケース!J41</f>
        <v>1531369.05316357</v>
      </c>
      <c r="D43" s="26" t="n">
        <f aca="false">好調ケース!J41</f>
        <v>8078046.31796051</v>
      </c>
    </row>
    <row r="44" customFormat="false" ht="15" hidden="false" customHeight="false" outlineLevel="0" collapsed="false">
      <c r="A44" s="36" t="s">
        <v>141</v>
      </c>
      <c r="B44" s="39" t="n">
        <f aca="false">慎重ケース!L41</f>
        <v>11.3236782621609</v>
      </c>
      <c r="C44" s="39" t="n">
        <f aca="false">標準ケース!L41</f>
        <v>39.4253418554595</v>
      </c>
      <c r="D44" s="39" t="n">
        <f aca="false">好調ケース!L41</f>
        <v>73.7686540102685</v>
      </c>
    </row>
    <row r="45" customFormat="false" ht="15" hidden="false" customHeight="false" outlineLevel="0" collapsed="false">
      <c r="A45" s="36" t="s">
        <v>142</v>
      </c>
      <c r="B45" s="26" t="n">
        <f aca="false">慎重ケース!M41</f>
        <v>22647.3565243219</v>
      </c>
      <c r="C45" s="26" t="n">
        <f aca="false">標準ケース!M41</f>
        <v>102505.888824195</v>
      </c>
      <c r="D45" s="26" t="n">
        <f aca="false">好調ケース!M41</f>
        <v>236059.692832859</v>
      </c>
    </row>
    <row r="46" customFormat="false" ht="15" hidden="false" customHeight="false" outlineLevel="0" collapsed="false">
      <c r="A46" s="36" t="s">
        <v>143</v>
      </c>
      <c r="B46" s="26" t="n">
        <f aca="false">慎重ケース!N41</f>
        <v>244781.483185155</v>
      </c>
      <c r="C46" s="26" t="n">
        <f aca="false">標準ケース!N41</f>
        <v>1633874.94198777</v>
      </c>
      <c r="D46" s="26" t="n">
        <f aca="false">好調ケース!N41</f>
        <v>8314106.01079337</v>
      </c>
    </row>
    <row r="47" customFormat="false" ht="15" hidden="false" customHeight="false" outlineLevel="0" collapsed="false">
      <c r="A47" s="36" t="s">
        <v>144</v>
      </c>
      <c r="B47" s="26" t="n">
        <f aca="false">慎重ケース!W41</f>
        <v>200503.140607969</v>
      </c>
      <c r="C47" s="26" t="n">
        <f aca="false">標準ケース!W41</f>
        <v>495224.379341647</v>
      </c>
      <c r="D47" s="26" t="n">
        <f aca="false">好調ケース!W41</f>
        <v>1404520.25608768</v>
      </c>
    </row>
    <row r="48" customFormat="false" ht="15" hidden="false" customHeight="false" outlineLevel="0" collapsed="false">
      <c r="A48" s="36" t="s">
        <v>145</v>
      </c>
      <c r="B48" s="26" t="n">
        <f aca="false">慎重ケース!X41</f>
        <v>44278.3425771865</v>
      </c>
      <c r="C48" s="26" t="n">
        <f aca="false">標準ケース!X41</f>
        <v>1138650.56264612</v>
      </c>
      <c r="D48" s="26" t="n">
        <f aca="false">好調ケース!X41</f>
        <v>6909585.75470569</v>
      </c>
    </row>
    <row r="49" customFormat="false" ht="15" hidden="false" customHeight="false" outlineLevel="0" collapsed="false">
      <c r="A49" s="36" t="s">
        <v>146</v>
      </c>
      <c r="B49" s="26" t="n">
        <f aca="false">慎重ケース!Y41</f>
        <v>519733.599654326</v>
      </c>
      <c r="C49" s="26" t="n">
        <f aca="false">標準ケース!Y41</f>
        <v>11792470.5835284</v>
      </c>
      <c r="D49" s="26" t="n">
        <f aca="false">好調ケース!Y41</f>
        <v>80617455.8137699</v>
      </c>
    </row>
    <row r="50" customFormat="false" ht="15" hidden="false" customHeight="false" outlineLevel="0" collapsed="false">
      <c r="A50" s="41" t="s">
        <v>151</v>
      </c>
      <c r="B50" s="42" t="n">
        <f aca="false">SUM(慎重ケース!N30:N41)</f>
        <v>2406530.11887691</v>
      </c>
      <c r="C50" s="42" t="n">
        <f aca="false">SUM(標準ケース!N30:N41)</f>
        <v>15133438.7545945</v>
      </c>
      <c r="D50" s="42" t="n">
        <f aca="false">SUM(好調ケース!N30:N41)</f>
        <v>74158070.2207734</v>
      </c>
    </row>
    <row r="52" customFormat="false" ht="15" hidden="false" customHeight="false" outlineLevel="0" collapsed="false">
      <c r="A52" s="7" t="s">
        <v>152</v>
      </c>
      <c r="B52" s="8"/>
      <c r="C52" s="8"/>
      <c r="D52" s="8"/>
    </row>
    <row r="53" customFormat="false" ht="15" hidden="false" customHeight="false" outlineLevel="0" collapsed="false">
      <c r="A53" s="34" t="s">
        <v>134</v>
      </c>
      <c r="B53" s="35" t="s">
        <v>24</v>
      </c>
      <c r="C53" s="35" t="s">
        <v>25</v>
      </c>
      <c r="D53" s="35" t="s">
        <v>26</v>
      </c>
    </row>
    <row r="54" customFormat="false" ht="15" hidden="false" customHeight="false" outlineLevel="0" collapsed="false">
      <c r="A54" s="36" t="s">
        <v>153</v>
      </c>
      <c r="B54" s="43" t="n">
        <f aca="false">IF(COUNTIF(慎重ケース!Y6:Y41,"&gt;0")=0,"36ヶ月時点で未達成",COUNTIF(慎重ケース!Y6:Y41,"&lt;=0")+1)</f>
        <v>28</v>
      </c>
      <c r="C54" s="43" t="n">
        <f aca="false">IF(COUNTIF(標準ケース!Y6:Y41,"&gt;0")=0,"36ヶ月時点で未達成",COUNTIF(標準ケース!Y6:Y41,"&lt;=0")+1)</f>
        <v>18</v>
      </c>
      <c r="D54" s="43" t="n">
        <f aca="false">IF(COUNTIF(好調ケース!Y6:Y41,"&gt;0")=0,"36ヶ月時点で未達成",COUNTIF(好調ケース!Y6:Y41,"&lt;=0")+1)</f>
        <v>11</v>
      </c>
    </row>
    <row r="55" customFormat="false" ht="15" hidden="false" customHeight="false" outlineLevel="0" collapsed="false">
      <c r="A55" s="36" t="s">
        <v>154</v>
      </c>
      <c r="B55" s="26" t="n">
        <f aca="false">IF(ISNUMBER(B54),INDEX(慎重ケース!N6:N41,B54),"―")</f>
        <v>180217.971317545</v>
      </c>
      <c r="C55" s="26" t="n">
        <f aca="false">IF(ISNUMBER(C54),INDEX(標準ケース!N6:N41,C54),"―")</f>
        <v>504819.455813009</v>
      </c>
      <c r="D55" s="26" t="n">
        <f aca="false">IF(ISNUMBER(D54),INDEX(好調ケース!N6:N41,D54),"―")</f>
        <v>785585.430157978</v>
      </c>
    </row>
    <row r="57" customFormat="false" ht="15" hidden="false" customHeight="false" outlineLevel="0" collapsed="false">
      <c r="A57" s="5" t="s">
        <v>155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3" min="2" style="0" width="20"/>
  </cols>
  <sheetData>
    <row r="1" customFormat="false" ht="21.6" hidden="false" customHeight="false" outlineLevel="0" collapsed="false">
      <c r="A1" s="44" t="s">
        <v>156</v>
      </c>
    </row>
    <row r="2" customFormat="false" ht="15" hidden="false" customHeight="false" outlineLevel="0" collapsed="false">
      <c r="A2" s="5" t="s">
        <v>157</v>
      </c>
    </row>
    <row r="4" customFormat="false" ht="32.8" hidden="false" customHeight="false" outlineLevel="0" collapsed="false">
      <c r="A4" s="34" t="s">
        <v>22</v>
      </c>
      <c r="B4" s="45" t="s">
        <v>158</v>
      </c>
      <c r="C4" s="45" t="s">
        <v>159</v>
      </c>
    </row>
    <row r="5" customFormat="false" ht="15" hidden="false" customHeight="false" outlineLevel="0" collapsed="false">
      <c r="A5" s="12" t="s">
        <v>160</v>
      </c>
      <c r="B5" s="46" t="n">
        <f aca="false">標準ケース!F41</f>
        <v>2469.9500857477</v>
      </c>
      <c r="C5" s="46" t="n">
        <f aca="false">標準ケース!F41</f>
        <v>2469.9500857477</v>
      </c>
    </row>
    <row r="6" customFormat="false" ht="15" hidden="false" customHeight="false" outlineLevel="0" collapsed="false">
      <c r="A6" s="9" t="s">
        <v>161</v>
      </c>
      <c r="B6" s="47" t="n">
        <f aca="false">前提条件!$D$28</f>
        <v>8</v>
      </c>
      <c r="C6" s="47" t="n">
        <f aca="false">前提条件!$D$29</f>
        <v>25</v>
      </c>
    </row>
    <row r="7" customFormat="false" ht="15" hidden="false" customHeight="false" outlineLevel="0" collapsed="false">
      <c r="A7" s="48" t="s">
        <v>162</v>
      </c>
      <c r="B7" s="49" t="n">
        <f aca="false">B5*B6</f>
        <v>19759.6006859816</v>
      </c>
      <c r="C7" s="49" t="n">
        <f aca="false">C5*C6</f>
        <v>61748.7521436925</v>
      </c>
    </row>
    <row r="8" customFormat="false" ht="15" hidden="false" customHeight="false" outlineLevel="0" collapsed="false">
      <c r="A8" s="48" t="s">
        <v>163</v>
      </c>
      <c r="B8" s="49" t="n">
        <f aca="false">B7*12</f>
        <v>237115.208231779</v>
      </c>
      <c r="C8" s="49" t="n">
        <f aca="false">C7*12</f>
        <v>740985.02572431</v>
      </c>
    </row>
    <row r="10" customFormat="false" ht="15" hidden="false" customHeight="false" outlineLevel="0" collapsed="false">
      <c r="A10" s="12" t="s">
        <v>164</v>
      </c>
      <c r="B10" s="47" t="n">
        <f aca="false">標準ケース!X41</f>
        <v>1138650.56264612</v>
      </c>
    </row>
    <row r="11" customFormat="false" ht="15" hidden="false" customHeight="false" outlineLevel="0" collapsed="false">
      <c r="A11" s="48" t="s">
        <v>165</v>
      </c>
      <c r="C11" s="49" t="n">
        <f aca="false">B10-(C7-B7)</f>
        <v>1096661.41118841</v>
      </c>
    </row>
    <row r="13" customFormat="false" ht="15" hidden="false" customHeight="false" outlineLevel="0" collapsed="false">
      <c r="A13" s="5" t="s">
        <v>166</v>
      </c>
    </row>
    <row r="14" customFormat="false" ht="15" hidden="false" customHeight="false" outlineLevel="0" collapsed="false">
      <c r="A14" s="13" t="s">
        <v>167</v>
      </c>
    </row>
    <row r="15" customFormat="false" ht="15" hidden="false" customHeight="false" outlineLevel="0" collapsed="false">
      <c r="A15" s="5" t="s">
        <v>168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2026-07-30T07:26:06Z</dcterms:created>
  <dc:creator>openpyxl</dc:creator>
  <dc:description/>
  <dc:language>en-US</dc:language>
  <cp:lastModifiedBy/>
  <dcterms:modified xsi:type="dcterms:W3CDTF">2026-07-30T07:26:06Z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